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0" yWindow="90" windowWidth="19425" windowHeight="11025"/>
  </bookViews>
  <sheets>
    <sheet name="Rechnung" sheetId="2" r:id="rId1"/>
    <sheet name="akustiker" sheetId="1" r:id="rId2"/>
    <sheet name="infos" sheetId="3" r:id="rId3"/>
  </sheets>
  <definedNames>
    <definedName name="_xlnm._FilterDatabase" localSheetId="1" hidden="1">akustiker!$A$1:$F$94</definedName>
    <definedName name="akustiker">akustiker!$A$2:$A$94</definedName>
    <definedName name="clear">Rechnung!$B$11:$B$16</definedName>
    <definedName name="_xlnm.Print_Area" localSheetId="0">Rechnung!$B$1:$H$46</definedName>
  </definedNames>
  <calcPr calcId="145621"/>
</workbook>
</file>

<file path=xl/calcChain.xml><?xml version="1.0" encoding="utf-8"?>
<calcChain xmlns="http://schemas.openxmlformats.org/spreadsheetml/2006/main">
  <c r="H21" i="2" l="1"/>
  <c r="H36" i="2" l="1"/>
  <c r="H37" i="2" s="1"/>
  <c r="H38" i="2" l="1"/>
</calcChain>
</file>

<file path=xl/sharedStrings.xml><?xml version="1.0" encoding="utf-8"?>
<sst xmlns="http://schemas.openxmlformats.org/spreadsheetml/2006/main" count="480" uniqueCount="397">
  <si>
    <t>Nina Bastein</t>
  </si>
  <si>
    <t>Hinterstr. 14a</t>
  </si>
  <si>
    <t>21723 Hollern-Twielenfleth</t>
  </si>
  <si>
    <t>Filiale</t>
  </si>
  <si>
    <t xml:space="preserve">Straße </t>
  </si>
  <si>
    <t>Ort</t>
  </si>
  <si>
    <t>Hörgeräte Aumann e.K.</t>
  </si>
  <si>
    <t>Verwaltung</t>
  </si>
  <si>
    <t>Am Wehrhahn 2</t>
  </si>
  <si>
    <t>40211 Düsseldorf</t>
  </si>
  <si>
    <t>Hörakustik bachmaier</t>
  </si>
  <si>
    <t>Schloßplatz 5</t>
  </si>
  <si>
    <t>83471 Berchtesgaden</t>
  </si>
  <si>
    <t>Sehen/Hören</t>
  </si>
  <si>
    <t>Hechingerstraße 11-13</t>
  </si>
  <si>
    <t>72461 Albstadt-Tailfingen</t>
  </si>
  <si>
    <t>Bänsch Sehen/Hören</t>
  </si>
  <si>
    <t>Altes Land Hörgeräte</t>
  </si>
  <si>
    <t>Aumann Hörgeräte e.K.</t>
  </si>
  <si>
    <t xml:space="preserve">bachmaier Hörakustik </t>
  </si>
  <si>
    <t>Hörgeräte Böhlefeld GmbH &amp; Co. KG</t>
  </si>
  <si>
    <t>Gaulstr. 4</t>
  </si>
  <si>
    <t>51688 Wipperfürth</t>
  </si>
  <si>
    <t>Böhlefeld Hörgeräte  GmbH &amp; Co. KG</t>
  </si>
  <si>
    <t>Hörgeräte Bonsel GmbH</t>
  </si>
  <si>
    <t>Götzenstraße 47-55</t>
  </si>
  <si>
    <t>65760 Eschborn</t>
  </si>
  <si>
    <t>Bonsel Hörgeräte  GmbH</t>
  </si>
  <si>
    <t>67098 Bad Dürkheim</t>
  </si>
  <si>
    <t>Neustadter Straße 4</t>
  </si>
  <si>
    <t>67112 Mutterstadt</t>
  </si>
  <si>
    <t>Mannheimer Str. 18</t>
  </si>
  <si>
    <t>Brockschmidt Optik | Hörakustik</t>
  </si>
  <si>
    <t>Begastraße 21</t>
  </si>
  <si>
    <t>32108 Bad Salzuflen</t>
  </si>
  <si>
    <t>City Hörgeräte Loch GmbH</t>
  </si>
  <si>
    <t>Töngesgasse 6</t>
  </si>
  <si>
    <t>60311 Frankfurt</t>
  </si>
  <si>
    <t>Der Ohrladen GmbH &amp; Co. KG</t>
  </si>
  <si>
    <t>Carl-Theodor-Str. 15</t>
  </si>
  <si>
    <t>68723 Schwetzingen</t>
  </si>
  <si>
    <t>Hörgeräte Dölle</t>
  </si>
  <si>
    <t>Augenoptik und Hörakustik</t>
  </si>
  <si>
    <t>Große Str. 50</t>
  </si>
  <si>
    <t>49565 Bramsche</t>
  </si>
  <si>
    <t>Clemensstrasse 5b</t>
  </si>
  <si>
    <t>49497 Mettingen</t>
  </si>
  <si>
    <t>Bramscher Str. 5-7</t>
  </si>
  <si>
    <t>49593 Bersenbrück</t>
  </si>
  <si>
    <t xml:space="preserve">Dölle &amp; Seggelmann Hörstudio </t>
  </si>
  <si>
    <t>Drecker Hören &amp; Sehen</t>
  </si>
  <si>
    <t>Lehrerstraße 13</t>
  </si>
  <si>
    <t>47167 Duisburg</t>
  </si>
  <si>
    <t>Engler Högeräte-Akustik</t>
  </si>
  <si>
    <t>Leipziger Str. 2</t>
  </si>
  <si>
    <t>08371 Glauchau</t>
  </si>
  <si>
    <t>Fabritius Hörgeräte</t>
  </si>
  <si>
    <t>Hauptstraße 14</t>
  </si>
  <si>
    <t>51789 Lindlar</t>
  </si>
  <si>
    <t>Franz HörSysteme</t>
  </si>
  <si>
    <t>Rathausallee 3b</t>
  </si>
  <si>
    <t>22846 Norderstedt</t>
  </si>
  <si>
    <t>Hörakustik Fuchs</t>
  </si>
  <si>
    <t>Dipl.-Ing. Hörakustik</t>
  </si>
  <si>
    <t>Münchener Str. 8</t>
  </si>
  <si>
    <t>85276 Pfaffenhofen</t>
  </si>
  <si>
    <t>Ullrich Gerlach</t>
  </si>
  <si>
    <t>Akustikermeister</t>
  </si>
  <si>
    <t>Hersfelder Straße 7</t>
  </si>
  <si>
    <t>36277 Schenklengsfeld</t>
  </si>
  <si>
    <t>Gerland Hörgeräte</t>
  </si>
  <si>
    <t>Schuhstr. 28</t>
  </si>
  <si>
    <t>31134 Hildesheim</t>
  </si>
  <si>
    <t>Hörakustikmeister Sven H. Bielenberg</t>
  </si>
  <si>
    <t>Gertler Hörakustik GmbH</t>
  </si>
  <si>
    <t>Hörakustik Zentrum</t>
  </si>
  <si>
    <t>In der Rambach 2</t>
  </si>
  <si>
    <t>36304 Alsfeld</t>
  </si>
  <si>
    <t>Geue-Hörakustik</t>
  </si>
  <si>
    <t>Inh. Erhard Schulz</t>
  </si>
  <si>
    <t>Neuperverstr. 26</t>
  </si>
  <si>
    <t>29410 Salzwedel</t>
  </si>
  <si>
    <t>Heerhorst GmbH</t>
  </si>
  <si>
    <t>Optik u. Akustik</t>
  </si>
  <si>
    <t>Kölner Straße 66</t>
  </si>
  <si>
    <t>53840 Troisdorf</t>
  </si>
  <si>
    <t>Helgert &amp; Rieger</t>
  </si>
  <si>
    <t>Hörgeräteakustik</t>
  </si>
  <si>
    <t>Innerer Laufer Platz 6-8</t>
  </si>
  <si>
    <t>90403 Nürnberg</t>
  </si>
  <si>
    <t>Herzog Hörgeräte</t>
  </si>
  <si>
    <t>Nürnberger Str. 11</t>
  </si>
  <si>
    <t>90579 Langenzenn</t>
  </si>
  <si>
    <t>Hess Hören</t>
  </si>
  <si>
    <t>Hörgeräte GmbH</t>
  </si>
  <si>
    <t>Treppenstr. 6</t>
  </si>
  <si>
    <t>34117 Kassel</t>
  </si>
  <si>
    <t xml:space="preserve">Gerlach, Ullrich </t>
  </si>
  <si>
    <t>Hölscher GmbH</t>
  </si>
  <si>
    <t>Dahlhok 29</t>
  </si>
  <si>
    <t>48488 Emsbüren</t>
  </si>
  <si>
    <t>Hörbar - Sichtbar</t>
  </si>
  <si>
    <t>Hörsysteme &amp; Optik</t>
  </si>
  <si>
    <t>Pionierstr. 46</t>
  </si>
  <si>
    <t>40215 Düsseldorf</t>
  </si>
  <si>
    <t>Hörakustik Tina Imreh</t>
  </si>
  <si>
    <t>Am Rathaus 14</t>
  </si>
  <si>
    <t>90522 Oberasbach</t>
  </si>
  <si>
    <t>90402 Nürnberg</t>
  </si>
  <si>
    <t>Hallplatz 2, in der Mauthalle</t>
  </si>
  <si>
    <t>Angerzeile 18</t>
  </si>
  <si>
    <t>90513 Zirndorf</t>
  </si>
  <si>
    <t>Hörklar - die Hörakustik</t>
  </si>
  <si>
    <t>Stephan Becker e.K.</t>
  </si>
  <si>
    <t>Eidingsen 2</t>
  </si>
  <si>
    <t>32549 Bad Oyenhausen</t>
  </si>
  <si>
    <t>Hörberatung Oberasbach</t>
  </si>
  <si>
    <t>Hörberatung Nürnberg</t>
  </si>
  <si>
    <t>Hörberatung Zirndorf</t>
  </si>
  <si>
    <t>Hörconcept Hagen</t>
  </si>
  <si>
    <t>Badstraße 18</t>
  </si>
  <si>
    <t>58095 Hagen</t>
  </si>
  <si>
    <t>HörKonzepte GmbH &amp; Co. KG</t>
  </si>
  <si>
    <t>Kurt-Schumacher-Platz 4</t>
  </si>
  <si>
    <t>44787 Bochum</t>
  </si>
  <si>
    <t>Vikariestr. 1</t>
  </si>
  <si>
    <t>45768 Marl</t>
  </si>
  <si>
    <t>Hörladen</t>
  </si>
  <si>
    <t>Plattlingerstr. 9</t>
  </si>
  <si>
    <t>94486 Osterhofen</t>
  </si>
  <si>
    <t>Dr.-Bayer-Str. 1</t>
  </si>
  <si>
    <t>87347 Pfarrkirchen</t>
  </si>
  <si>
    <t>Gwendoline Klimesch</t>
  </si>
  <si>
    <t>Stadtplatz 32</t>
  </si>
  <si>
    <t>94474 Vilshofen</t>
  </si>
  <si>
    <t>James-von-Moltke-Str. 49</t>
  </si>
  <si>
    <t>02826 Görlitz</t>
  </si>
  <si>
    <t>Putzkauer Str. 2</t>
  </si>
  <si>
    <t>01877 Bischofswerda</t>
  </si>
  <si>
    <t>Hörspezialisten</t>
  </si>
  <si>
    <t>Hör-Studio Heinsberg</t>
  </si>
  <si>
    <t>Inh. Sabine Mihm</t>
  </si>
  <si>
    <t>Patersgasse 8</t>
  </si>
  <si>
    <t>52525 Heinsberg</t>
  </si>
  <si>
    <t>Hütte - die Hörakustik</t>
  </si>
  <si>
    <t>Schülerstraße 16-18</t>
  </si>
  <si>
    <t>32756 Detmold</t>
  </si>
  <si>
    <t>Iglhaut-Brillen</t>
  </si>
  <si>
    <t>Hafnerstr. 3</t>
  </si>
  <si>
    <t>93413 Cham</t>
  </si>
  <si>
    <t>Ihr Ohr</t>
  </si>
  <si>
    <t>Simone Weyand-Fink e.U.</t>
  </si>
  <si>
    <t>Postgasse 13</t>
  </si>
  <si>
    <t>Jaegers</t>
  </si>
  <si>
    <t>Augenoptik und Hörgeräteakustik</t>
  </si>
  <si>
    <t>Hochstraße 63</t>
  </si>
  <si>
    <t>Jetzt Hören</t>
  </si>
  <si>
    <t>Rother Str. 45</t>
  </si>
  <si>
    <t>91161 Hilpoltstein</t>
  </si>
  <si>
    <t>Kehrle Hörsysteme</t>
  </si>
  <si>
    <t>Schleißheimer Str. 411</t>
  </si>
  <si>
    <t>80935 München</t>
  </si>
  <si>
    <t>Hörgeräte Center</t>
  </si>
  <si>
    <t>Kempen am Ring</t>
  </si>
  <si>
    <t>Mülhauser Str. 1</t>
  </si>
  <si>
    <t>47906 Kempen</t>
  </si>
  <si>
    <t>Belruptstraße 25</t>
  </si>
  <si>
    <t>6900 Bregenz</t>
  </si>
  <si>
    <t>Hauptstrasse 55</t>
  </si>
  <si>
    <t>91054 Erlangen</t>
  </si>
  <si>
    <t xml:space="preserve">Name </t>
  </si>
  <si>
    <t>Brillen Bott Bad Dürkheim</t>
  </si>
  <si>
    <t>Brillen Bott Mutterstadt</t>
  </si>
  <si>
    <t xml:space="preserve">Kraus Hörgeräte </t>
  </si>
  <si>
    <t xml:space="preserve">Ernst Kronemann </t>
  </si>
  <si>
    <t>Optik und Hörgeräte GmbH</t>
  </si>
  <si>
    <t>Weiseler Str. 32</t>
  </si>
  <si>
    <t>35510 Butzbach</t>
  </si>
  <si>
    <t xml:space="preserve">Hören Klatzer eU </t>
  </si>
  <si>
    <t>KUNO</t>
  </si>
  <si>
    <t>Augenoptik und Hörakustik GmbH</t>
  </si>
  <si>
    <t>Karlstr. 20-22</t>
  </si>
  <si>
    <t>74564 Crailsheim</t>
  </si>
  <si>
    <t>Hörgeräte Lang GmbH</t>
  </si>
  <si>
    <t>Zentrale</t>
  </si>
  <si>
    <t>Dornburger Str. 17</t>
  </si>
  <si>
    <t>07743 Jena</t>
  </si>
  <si>
    <t>Lindacher Akustik GmbH</t>
  </si>
  <si>
    <t>Siemensstraße 3/1</t>
  </si>
  <si>
    <t>71263 Weil der Stadt</t>
  </si>
  <si>
    <t>Hörgeräte Lorenz Bühl GmbH  &amp; Co. KG</t>
  </si>
  <si>
    <t>Hauptstraße 1e</t>
  </si>
  <si>
    <t>77815 Bühl</t>
  </si>
  <si>
    <t>Inh. Elke Maier</t>
  </si>
  <si>
    <t>Dr.-Kurt-Steim-Str. 9</t>
  </si>
  <si>
    <t>78713 Schramberg</t>
  </si>
  <si>
    <t>Lorenz Hörgeräte Bühl GmbH  &amp; Co. KG</t>
  </si>
  <si>
    <t>Lang Hörgeräte GmbH</t>
  </si>
  <si>
    <t xml:space="preserve">Maier Hörgeräte </t>
  </si>
  <si>
    <t>Martin Linke</t>
  </si>
  <si>
    <t>sehen + hören</t>
  </si>
  <si>
    <t>Königstraße 46</t>
  </si>
  <si>
    <t>76887 Bad Bergzabern</t>
  </si>
  <si>
    <t>Hörgeräte Matthäus</t>
  </si>
  <si>
    <t>Rothenburger Str. 2</t>
  </si>
  <si>
    <t>91438 Bad Windsheim</t>
  </si>
  <si>
    <t xml:space="preserve">Matthäus Hörgeräte </t>
  </si>
  <si>
    <t>Dölle Hörgeräte Bramsche</t>
  </si>
  <si>
    <t>Dölle Hörgeräte Mettingen</t>
  </si>
  <si>
    <t>Klatzer eU</t>
  </si>
  <si>
    <t>Hörladen Osterhofen</t>
  </si>
  <si>
    <t>Hörspezialisten Bischofswerda</t>
  </si>
  <si>
    <t>Hörspezialisten Görlitz</t>
  </si>
  <si>
    <t>Hörladen Pfarrkirchen</t>
  </si>
  <si>
    <t>Hörladen Vilshofen</t>
  </si>
  <si>
    <t>Matthias Kaulard GmbH &amp; Co. KG</t>
  </si>
  <si>
    <t>Rathausstr. 49</t>
  </si>
  <si>
    <t>52222 Stolberg</t>
  </si>
  <si>
    <t>Matthias Kaulard</t>
  </si>
  <si>
    <t>Hörgeräte Meckler</t>
  </si>
  <si>
    <t>Am Stadtpark 2</t>
  </si>
  <si>
    <t>90409 Nürnberg</t>
  </si>
  <si>
    <t>Meckler Hörgeräte</t>
  </si>
  <si>
    <t>New Hearing Quality</t>
  </si>
  <si>
    <t>Denis Mazzucca</t>
  </si>
  <si>
    <t>Brahmsstrasse 77</t>
  </si>
  <si>
    <t xml:space="preserve">Hörgeräte Maier </t>
  </si>
  <si>
    <t>Ohrengold</t>
  </si>
  <si>
    <t>Kleinbottwarer Str. 15</t>
  </si>
  <si>
    <t>71711 Steinheim / Murr</t>
  </si>
  <si>
    <t>HörKonzepte Bochum</t>
  </si>
  <si>
    <t>HörKonzepte Marl</t>
  </si>
  <si>
    <t>Österreich</t>
  </si>
  <si>
    <t>Land</t>
  </si>
  <si>
    <t>1010 Wien</t>
  </si>
  <si>
    <t>Hansaton Hörkompetenz-Zentren GmbH</t>
  </si>
  <si>
    <t>Josef-Lindner-Straße 4/4</t>
  </si>
  <si>
    <t>A-5073 Wals-Himmelreich</t>
  </si>
  <si>
    <t>Ohrtheke-HANSATON</t>
  </si>
  <si>
    <t>OTON Die Hörakustiker Rahlstedt GmbH</t>
  </si>
  <si>
    <t>Rahlstedter Bahnhofstr. 27-29</t>
  </si>
  <si>
    <t>22143 Hamburg</t>
  </si>
  <si>
    <t>OTON</t>
  </si>
  <si>
    <t>Hörakustik Paradies</t>
  </si>
  <si>
    <t>Wilhelmstr. 6/1</t>
  </si>
  <si>
    <t>75378 Bad Liebenzell</t>
  </si>
  <si>
    <t>Paradies</t>
  </si>
  <si>
    <t>Hörhilfe Parchim</t>
  </si>
  <si>
    <t>Am Rathaus 2</t>
  </si>
  <si>
    <t>19370 Parchim</t>
  </si>
  <si>
    <t>Christiane Schomann Hörgeräteakustikermeisterin</t>
  </si>
  <si>
    <t>Parchim</t>
  </si>
  <si>
    <t>Akustik + Optik Peschke</t>
  </si>
  <si>
    <t>Thomas Andres</t>
  </si>
  <si>
    <t>Königstr. 81</t>
  </si>
  <si>
    <t>Peschke</t>
  </si>
  <si>
    <t>Hörgeräte-Service</t>
  </si>
  <si>
    <t>Gabriele Pursch</t>
  </si>
  <si>
    <t>Handelsstrasse 11</t>
  </si>
  <si>
    <t>16303 Schwedt/Oder</t>
  </si>
  <si>
    <t>Pursch HG Service</t>
  </si>
  <si>
    <t>Hörgeräte Rehn e.K.</t>
  </si>
  <si>
    <t>Dombühler Str. 9</t>
  </si>
  <si>
    <t>90449 Nürnberg</t>
  </si>
  <si>
    <t>Hörgeräte Reichart GmbH</t>
  </si>
  <si>
    <t>Buchhaltung</t>
  </si>
  <si>
    <t>Einsteinstr. 131</t>
  </si>
  <si>
    <t>81675 München</t>
  </si>
  <si>
    <t>Rehn</t>
  </si>
  <si>
    <t>Reichert</t>
  </si>
  <si>
    <t xml:space="preserve">Hörgeräte Altes Land </t>
  </si>
  <si>
    <t>Bänsch</t>
  </si>
  <si>
    <t>Brillen Bott Hörgeräte GmbH</t>
  </si>
  <si>
    <t>Brillen Bott Schifferstadt</t>
  </si>
  <si>
    <t xml:space="preserve">Fuchs Hörakustik </t>
  </si>
  <si>
    <t>Die Hörberatung</t>
  </si>
  <si>
    <t>Hörberatung</t>
  </si>
  <si>
    <t>Kempen Hörgeräte Center</t>
  </si>
  <si>
    <t xml:space="preserve">Kronemann </t>
  </si>
  <si>
    <t>Zusatzinfo / Ansprechpartner</t>
  </si>
  <si>
    <t>Hörakustik Reiser</t>
  </si>
  <si>
    <t>Johannisstrasse 30</t>
  </si>
  <si>
    <t>90419 Nürnberg</t>
  </si>
  <si>
    <t>Reiser</t>
  </si>
  <si>
    <t>Katja Reißer</t>
  </si>
  <si>
    <t>Hörgeräte Akustik</t>
  </si>
  <si>
    <t>Erlanger Straße 10a</t>
  </si>
  <si>
    <t>91220 Schnaittach</t>
  </si>
  <si>
    <t>Reißer, Katja HG Akustik</t>
  </si>
  <si>
    <t>RIEDE Optik &amp; Akustik</t>
  </si>
  <si>
    <t>Karlstraße 19</t>
  </si>
  <si>
    <t>89547 Gerstetten</t>
  </si>
  <si>
    <t>RIEDE</t>
  </si>
  <si>
    <t>Roman Wagner</t>
  </si>
  <si>
    <t>Hörgeräte</t>
  </si>
  <si>
    <t>Steinerbaum 4</t>
  </si>
  <si>
    <t>54338 Schweich</t>
  </si>
  <si>
    <t>Roman Wagner HG</t>
  </si>
  <si>
    <t>Hörakustik Schäfer GmbH</t>
  </si>
  <si>
    <t>Stadelgasse 29</t>
  </si>
  <si>
    <t>73430 Aalen</t>
  </si>
  <si>
    <t>Hörgeräte SCHEDL</t>
  </si>
  <si>
    <t>Bahnstr. 18/18a</t>
  </si>
  <si>
    <t>63906 Erlenbach</t>
  </si>
  <si>
    <t>Schedl</t>
  </si>
  <si>
    <t>Schäfer Hörakustik</t>
  </si>
  <si>
    <t xml:space="preserve">Schindler </t>
  </si>
  <si>
    <t>Augenoptik/Hörakustik</t>
  </si>
  <si>
    <t>Marktplatz 19</t>
  </si>
  <si>
    <t>84539 Ampfing</t>
  </si>
  <si>
    <t>Schindler</t>
  </si>
  <si>
    <t>Schwab&amp;Scarsella</t>
  </si>
  <si>
    <t>Hörsysteme GmbH &amp; Co.KG</t>
  </si>
  <si>
    <t>Goethestr. 33</t>
  </si>
  <si>
    <t>74076 Heilbronn</t>
  </si>
  <si>
    <t>Schwanke Optik &amp; Akustik</t>
  </si>
  <si>
    <t>Dudelerstr. 7</t>
  </si>
  <si>
    <t>46147 Oberhausen</t>
  </si>
  <si>
    <t>Schwanke Optik Akustik</t>
  </si>
  <si>
    <t>Brille &amp; Akustik</t>
  </si>
  <si>
    <t>Schwickard</t>
  </si>
  <si>
    <t>Kapellenstraße 5</t>
  </si>
  <si>
    <t>52066 Aachen</t>
  </si>
  <si>
    <t>Akustik Seggelmann</t>
  </si>
  <si>
    <t>Nina Seggelmann</t>
  </si>
  <si>
    <t>Druchhorner Str. 4</t>
  </si>
  <si>
    <t>79577 Ankum</t>
  </si>
  <si>
    <t>Seggelmann</t>
  </si>
  <si>
    <t>Hörgeräte Seifert GmbH</t>
  </si>
  <si>
    <t>Poststraße 33</t>
  </si>
  <si>
    <t>83435 Bad Reichenhall</t>
  </si>
  <si>
    <t>Seifert HG</t>
  </si>
  <si>
    <t>Slickers Optik &amp; Akustik</t>
  </si>
  <si>
    <t>Hartstraße 27</t>
  </si>
  <si>
    <t>47608 Geldern</t>
  </si>
  <si>
    <t>Slickers Akustik</t>
  </si>
  <si>
    <t>Optik Stock Hörgeräte</t>
  </si>
  <si>
    <t>Luitpoldplatz 13</t>
  </si>
  <si>
    <t>94469 Deggendorf</t>
  </si>
  <si>
    <t>Stock</t>
  </si>
  <si>
    <t>Hörgerätestudio Eibach</t>
  </si>
  <si>
    <t>Inh. Martin Schrenker e.K.</t>
  </si>
  <si>
    <t>Eibacher Hauptstr. 58</t>
  </si>
  <si>
    <t>90451 Nürnberg</t>
  </si>
  <si>
    <t>Studio Eibach</t>
  </si>
  <si>
    <t>Urban sehen &amp; hören</t>
  </si>
  <si>
    <t>Optik / Akustik</t>
  </si>
  <si>
    <t>Obere Bahnhofstraße 54a</t>
  </si>
  <si>
    <t>91541 Rothenburg</t>
  </si>
  <si>
    <t>Urban-Optik-Akustik</t>
  </si>
  <si>
    <t>Vitakustik GmbH</t>
  </si>
  <si>
    <t>Ungererstr. 175</t>
  </si>
  <si>
    <t>80805 München</t>
  </si>
  <si>
    <t xml:space="preserve">Vitakustik </t>
  </si>
  <si>
    <t>Volmer GmbH</t>
  </si>
  <si>
    <t>Hasestraße 1</t>
  </si>
  <si>
    <t>49716 Meppen</t>
  </si>
  <si>
    <t>Hörgeräte Wasserfuhr GmbH</t>
  </si>
  <si>
    <t>Hauptstr. 25</t>
  </si>
  <si>
    <t>42651 Solingen</t>
  </si>
  <si>
    <t>Wasserfur Hörgeräte GmbH</t>
  </si>
  <si>
    <t>Weinkauf &amp; Sohn</t>
  </si>
  <si>
    <t>Sehen und Hören GmbH</t>
  </si>
  <si>
    <t>Löhrstr. 10-12</t>
  </si>
  <si>
    <t>56068 Koblenz</t>
  </si>
  <si>
    <t>Zinßer Alexandra GmbH</t>
  </si>
  <si>
    <t>Pfarrkirchener Str. 13</t>
  </si>
  <si>
    <t>84307 Eggenfelden</t>
  </si>
  <si>
    <t>Zinßer</t>
  </si>
  <si>
    <t>Datum</t>
  </si>
  <si>
    <t>Kommission</t>
  </si>
  <si>
    <t>Reparatur</t>
  </si>
  <si>
    <t>Rep.kosten</t>
  </si>
  <si>
    <t>Porto</t>
  </si>
  <si>
    <t>Gesamt</t>
  </si>
  <si>
    <t>Garantie</t>
  </si>
  <si>
    <t>Steuernummer: 241/128/31777</t>
  </si>
  <si>
    <t>Handelsregister: Amtsgericht Nürnberg HRB 28915, Sitz: Nürnberg</t>
  </si>
  <si>
    <t>Kulanz</t>
  </si>
  <si>
    <t xml:space="preserve"> </t>
  </si>
  <si>
    <t>unrepariert zurück</t>
  </si>
  <si>
    <t>verschrottet</t>
  </si>
  <si>
    <t xml:space="preserve">einzelne Positionen </t>
  </si>
  <si>
    <t>Reklamation</t>
  </si>
  <si>
    <t>Vlutters</t>
  </si>
  <si>
    <t>Hörakustik Vlutters</t>
  </si>
  <si>
    <t>Möllerstr. 26</t>
  </si>
  <si>
    <t>58119 Hagen-Elsey</t>
  </si>
  <si>
    <t>Weiter berechenbare Leistungen gemäß beiliegender Aufstellung:</t>
  </si>
  <si>
    <t>Bahnhofstraße 19</t>
  </si>
  <si>
    <t>64401 Groß-Bieberau</t>
  </si>
  <si>
    <t>Rechnungsbetrag bitte innerhalb 10 Tagen nach Erhalt auf folgendes Konto überweisen:</t>
  </si>
  <si>
    <t>Nettobetrag</t>
  </si>
  <si>
    <t>Endbetrag</t>
  </si>
  <si>
    <t>Groß-Biberau</t>
  </si>
  <si>
    <t>Die nachfolgenden Leistungen wurden fьr den Zeitraum von 01.03.2025 bis 31.03.2025 berechnet.</t>
  </si>
  <si>
    <t>027-94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</si>
</sst>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,##0.00\ &quot;€&quot;"/>
    <numFmt numFmtId="165" formatCode="_([$€]* #,##0.00_);_([$€]* \(#,##0.00\);_([$€]* &quot;-&quot;??_);_(@_)"/>
    <numFmt numFmtId="166" formatCode="#,##0.00&quot; €&quot;;[Red]\-#,##0.00&quot; €&quot;"/>
    <numFmt numFmtId="167" formatCode="#,##0.00&quot; €&quot;;[Red]#,##0.00&quot; €&quot;"/>
  </numFmts>
  <fonts count="49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1"/>
      <color indexed="8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b/>
      <sz val="12"/>
      <name val="Arial"/>
      <family val="2"/>
      <charset val="204"/>
    </font>
    <font>
      <sz val="12"/>
      <name val="Arial"/>
      <family val="2"/>
      <charset val="204"/>
    </font>
    <font>
      <sz val="11"/>
      <name val="Arial"/>
      <family val="2"/>
      <charset val="204"/>
    </font>
    <font>
      <sz val="11"/>
      <color theme="1"/>
      <name val="Arial"/>
      <family val="2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sz val="6"/>
      <name val="Arial"/>
      <family val="2"/>
      <charset val="204"/>
    </font>
    <font>
      <b/>
      <sz val="10"/>
      <color indexed="10"/>
      <name val="Arial"/>
      <family val="2"/>
      <charset val="204"/>
    </font>
    <font>
      <b/>
      <sz val="14"/>
      <name val="Arial"/>
      <family val="2"/>
      <charset val="204"/>
    </font>
    <font>
      <sz val="11"/>
      <color indexed="8"/>
      <name val="Arial"/>
      <family val="2"/>
      <charset val="204"/>
    </font>
    <font>
      <b/>
      <sz val="9"/>
      <name val="Arial"/>
      <family val="2"/>
      <charset val="204"/>
    </font>
    <font>
      <sz val="8"/>
      <name val="Arial"/>
      <family val="2"/>
      <charset val="204"/>
    </font>
    <font>
      <sz val="10"/>
      <color indexed="8"/>
      <name val="Arial"/>
      <family val="2"/>
      <charset val="204"/>
    </font>
    <font>
      <sz val="8"/>
      <color theme="1"/>
      <name val="Arial"/>
      <family val="2"/>
      <charset val="204"/>
    </font>
    <font>
      <sz val="11"/>
      <color indexed="12"/>
      <name val="Arial"/>
      <family val="2"/>
      <charset val="204"/>
    </font>
    <font>
      <i/>
      <sz val="10"/>
      <color indexed="18"/>
      <name val="Arial"/>
      <family val="2"/>
      <charset val="204"/>
    </font>
    <font>
      <b/>
      <sz val="10"/>
      <name val="Arial"/>
      <family val="2"/>
      <charset val="204"/>
    </font>
    <font>
      <i/>
      <sz val="10"/>
      <color indexed="12"/>
      <name val="Arial"/>
      <family val="2"/>
      <charset val="204"/>
    </font>
    <font>
      <sz val="10.5"/>
      <color theme="1"/>
      <name val="Arial"/>
      <family val="2"/>
      <charset val="204"/>
    </font>
    <font>
      <sz val="10"/>
      <color indexed="18"/>
      <name val="Arial"/>
      <family val="2"/>
      <charset val="204"/>
    </font>
    <font>
      <b/>
      <sz val="15"/>
      <name val="Arial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Arial"/>
      <family val="2"/>
      <charset val="204"/>
    </font>
    <font>
      <sz val="10"/>
      <color theme="1"/>
      <name val="Arial"/>
      <family val="2"/>
      <charset val="204"/>
    </font>
  </fonts>
  <fills count="2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55"/>
        <bgColor indexed="23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 diagonalUp="1" diagonalDown="1"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6">
    <xf numFmtId="0" fontId="0" fillId="0" borderId="0"/>
    <xf numFmtId="0" fontId="5" fillId="0" borderId="1" quotePrefix="1">
      <alignment horizontal="justify" vertical="justify" textRotation="127" wrapText="1" justifyLastLine="1"/>
      <protection hidden="1"/>
    </xf>
    <xf numFmtId="165" fontId="5" fillId="2" borderId="0" applyNumberFormat="0" applyFont="0" applyFill="0" applyBorder="0" applyAlignment="0" applyProtection="0">
      <alignment vertical="center"/>
    </xf>
    <xf numFmtId="0" fontId="7" fillId="0" borderId="0">
      <alignment horizontal="justify" vertical="top" textRotation="127" wrapText="1"/>
      <protection hidden="1"/>
    </xf>
    <xf numFmtId="0" fontId="8" fillId="3" borderId="0" applyNumberFormat="0" applyBorder="0">
      <alignment horizontal="justify" vertical="top" textRotation="127" wrapText="1"/>
      <protection hidden="1"/>
    </xf>
    <xf numFmtId="0" fontId="8" fillId="4" borderId="0" applyNumberFormat="0" applyBorder="0">
      <alignment horizontal="justify" vertical="top" textRotation="127" wrapText="1"/>
      <protection hidden="1"/>
    </xf>
    <xf numFmtId="0" fontId="8" fillId="5" borderId="0" applyNumberFormat="0" applyBorder="0">
      <alignment horizontal="justify" vertical="top" textRotation="127" wrapText="1"/>
      <protection hidden="1"/>
    </xf>
    <xf numFmtId="0" fontId="8" fillId="6" borderId="0" applyNumberFormat="0" applyBorder="0">
      <alignment horizontal="justify" vertical="top" textRotation="127" wrapText="1"/>
      <protection hidden="1"/>
    </xf>
    <xf numFmtId="0" fontId="8" fillId="7" borderId="0" applyNumberFormat="0" applyBorder="0">
      <alignment horizontal="justify" vertical="top" textRotation="127" wrapText="1"/>
      <protection hidden="1"/>
    </xf>
    <xf numFmtId="0" fontId="8" fillId="8" borderId="0" applyNumberFormat="0" applyBorder="0">
      <alignment horizontal="justify" vertical="top" textRotation="127" wrapText="1"/>
      <protection hidden="1"/>
    </xf>
    <xf numFmtId="0" fontId="8" fillId="9" borderId="0" applyNumberFormat="0" applyBorder="0">
      <alignment horizontal="justify" vertical="top" textRotation="127" wrapText="1"/>
      <protection hidden="1"/>
    </xf>
    <xf numFmtId="0" fontId="8" fillId="10" borderId="0" applyNumberFormat="0" applyBorder="0">
      <alignment horizontal="justify" vertical="top" textRotation="127" wrapText="1"/>
      <protection hidden="1"/>
    </xf>
    <xf numFmtId="0" fontId="8" fillId="11" borderId="0" applyNumberFormat="0" applyBorder="0">
      <alignment horizontal="justify" vertical="top" textRotation="127" wrapText="1"/>
      <protection hidden="1"/>
    </xf>
    <xf numFmtId="0" fontId="8" fillId="6" borderId="0" applyNumberFormat="0" applyBorder="0">
      <alignment horizontal="justify" vertical="top" textRotation="127" wrapText="1"/>
      <protection hidden="1"/>
    </xf>
    <xf numFmtId="0" fontId="8" fillId="9" borderId="0" applyNumberFormat="0" applyBorder="0">
      <alignment horizontal="justify" vertical="top" textRotation="127" wrapText="1"/>
      <protection hidden="1"/>
    </xf>
    <xf numFmtId="0" fontId="8" fillId="12" borderId="0" applyNumberFormat="0" applyBorder="0">
      <alignment horizontal="justify" vertical="top" textRotation="127" wrapText="1"/>
      <protection hidden="1"/>
    </xf>
    <xf numFmtId="0" fontId="9" fillId="13" borderId="0" applyNumberFormat="0" applyBorder="0">
      <alignment horizontal="justify" vertical="top" textRotation="127" wrapText="1"/>
      <protection hidden="1"/>
    </xf>
    <xf numFmtId="0" fontId="9" fillId="10" borderId="0" applyNumberFormat="0" applyBorder="0">
      <alignment horizontal="justify" vertical="top" textRotation="127" wrapText="1"/>
      <protection hidden="1"/>
    </xf>
    <xf numFmtId="0" fontId="9" fillId="11" borderId="0" applyNumberFormat="0" applyBorder="0">
      <alignment horizontal="justify" vertical="top" textRotation="127" wrapText="1"/>
      <protection hidden="1"/>
    </xf>
    <xf numFmtId="0" fontId="9" fillId="14" borderId="0" applyNumberFormat="0" applyBorder="0">
      <alignment horizontal="justify" vertical="top" textRotation="127" wrapText="1"/>
      <protection hidden="1"/>
    </xf>
    <xf numFmtId="0" fontId="9" fillId="15" borderId="0" applyNumberFormat="0" applyBorder="0">
      <alignment horizontal="justify" vertical="top" textRotation="127" wrapText="1"/>
      <protection hidden="1"/>
    </xf>
    <xf numFmtId="0" fontId="9" fillId="16" borderId="0" applyNumberFormat="0" applyBorder="0">
      <alignment horizontal="justify" vertical="top" textRotation="127" wrapText="1"/>
      <protection hidden="1"/>
    </xf>
    <xf numFmtId="0" fontId="9" fillId="17" borderId="0" applyNumberFormat="0" applyBorder="0">
      <alignment horizontal="justify" vertical="top" textRotation="127" wrapText="1"/>
      <protection hidden="1"/>
    </xf>
    <xf numFmtId="0" fontId="9" fillId="18" borderId="0" applyNumberFormat="0" applyBorder="0">
      <alignment horizontal="justify" vertical="top" textRotation="127" wrapText="1"/>
      <protection hidden="1"/>
    </xf>
    <xf numFmtId="0" fontId="9" fillId="19" borderId="0" applyNumberFormat="0" applyBorder="0">
      <alignment horizontal="justify" vertical="top" textRotation="127" wrapText="1"/>
      <protection hidden="1"/>
    </xf>
    <xf numFmtId="0" fontId="9" fillId="14" borderId="0" applyNumberFormat="0" applyBorder="0">
      <alignment horizontal="justify" vertical="top" textRotation="127" wrapText="1"/>
      <protection hidden="1"/>
    </xf>
    <xf numFmtId="0" fontId="9" fillId="15" borderId="0" applyNumberFormat="0" applyBorder="0">
      <alignment horizontal="justify" vertical="top" textRotation="127" wrapText="1"/>
      <protection hidden="1"/>
    </xf>
    <xf numFmtId="0" fontId="9" fillId="20" borderId="0" applyNumberFormat="0" applyBorder="0">
      <alignment horizontal="justify" vertical="top" textRotation="127" wrapText="1"/>
      <protection hidden="1"/>
    </xf>
    <xf numFmtId="0" fontId="10" fillId="21" borderId="4" applyNumberFormat="0">
      <alignment horizontal="justify" vertical="top" textRotation="127" wrapText="1"/>
      <protection hidden="1"/>
    </xf>
    <xf numFmtId="0" fontId="11" fillId="21" borderId="5" applyNumberFormat="0">
      <alignment horizontal="justify" vertical="top" textRotation="127" wrapText="1"/>
      <protection hidden="1"/>
    </xf>
    <xf numFmtId="0" fontId="12" fillId="8" borderId="5" applyNumberFormat="0">
      <alignment horizontal="justify" vertical="top" textRotation="127" wrapText="1"/>
      <protection hidden="1"/>
    </xf>
    <xf numFmtId="0" fontId="13" fillId="0" borderId="6" applyNumberFormat="0" applyFill="0">
      <alignment horizontal="justify" vertical="top" textRotation="127" wrapText="1"/>
      <protection hidden="1"/>
    </xf>
    <xf numFmtId="0" fontId="14" fillId="0" borderId="0" applyNumberFormat="0" applyFill="0" applyBorder="0">
      <alignment horizontal="justify" vertical="top" textRotation="127" wrapText="1"/>
      <protection hidden="1"/>
    </xf>
    <xf numFmtId="0" fontId="7" fillId="0" borderId="0" applyNumberFormat="0" applyFill="0" applyBorder="0">
      <alignment horizontal="justify" vertical="top" textRotation="127" wrapText="1"/>
      <protection hidden="1"/>
    </xf>
    <xf numFmtId="0" fontId="15" fillId="5" borderId="0" applyNumberFormat="0" applyBorder="0">
      <alignment horizontal="justify" vertical="top" textRotation="127" wrapText="1"/>
      <protection hidden="1"/>
    </xf>
    <xf numFmtId="0" fontId="16" fillId="22" borderId="0" applyNumberFormat="0" applyBorder="0">
      <alignment horizontal="justify" vertical="top" textRotation="127" wrapText="1"/>
      <protection hidden="1"/>
    </xf>
    <xf numFmtId="0" fontId="7" fillId="23" borderId="7" applyNumberFormat="0">
      <alignment horizontal="justify" vertical="top" textRotation="127" wrapText="1"/>
      <protection hidden="1"/>
    </xf>
    <xf numFmtId="0" fontId="17" fillId="4" borderId="0" applyNumberFormat="0" applyBorder="0">
      <alignment horizontal="justify" vertical="top" textRotation="127" wrapText="1"/>
      <protection hidden="1"/>
    </xf>
    <xf numFmtId="0" fontId="21" fillId="0" borderId="8" applyNumberFormat="0" applyFill="0">
      <alignment horizontal="justify" vertical="top" textRotation="127" wrapText="1"/>
      <protection hidden="1"/>
    </xf>
    <xf numFmtId="0" fontId="22" fillId="0" borderId="9" applyNumberFormat="0" applyFill="0">
      <alignment horizontal="justify" vertical="top" textRotation="127" wrapText="1"/>
      <protection hidden="1"/>
    </xf>
    <xf numFmtId="0" fontId="23" fillId="0" borderId="10" applyNumberFormat="0" applyFill="0">
      <alignment horizontal="justify" vertical="top" textRotation="127" wrapText="1"/>
      <protection hidden="1"/>
    </xf>
    <xf numFmtId="0" fontId="23" fillId="0" borderId="0" applyNumberFormat="0" applyFill="0" applyBorder="0">
      <alignment horizontal="justify" vertical="top" textRotation="127" wrapText="1"/>
      <protection hidden="1"/>
    </xf>
    <xf numFmtId="0" fontId="24" fillId="0" borderId="0" applyNumberFormat="0" applyFill="0" applyBorder="0">
      <alignment horizontal="justify" vertical="top" textRotation="127" wrapText="1"/>
      <protection hidden="1"/>
    </xf>
    <xf numFmtId="0" fontId="18" fillId="0" borderId="11" applyNumberFormat="0" applyFill="0">
      <alignment horizontal="justify" vertical="top" textRotation="127" wrapText="1"/>
      <protection hidden="1"/>
    </xf>
    <xf numFmtId="0" fontId="19" fillId="0" borderId="0" applyNumberFormat="0" applyFill="0" applyBorder="0">
      <alignment horizontal="justify" vertical="top" textRotation="127" wrapText="1"/>
      <protection hidden="1"/>
    </xf>
    <xf numFmtId="0" fontId="20" fillId="24" borderId="12" applyNumberFormat="0">
      <alignment horizontal="justify" vertical="top" textRotation="127" wrapText="1"/>
      <protection hidden="1"/>
    </xf>
  </cellStyleXfs>
  <cellXfs count="70">
    <xf numFmtId="0" fontId="0" fillId="0" borderId="0" xfId="0"/>
    <xf numFmtId="0" fontId="2" fillId="0" borderId="0" xfId="0" applyFont="1" applyFill="1"/>
    <xf numFmtId="0" fontId="1" fillId="0" borderId="0" xfId="0" applyFont="1" applyFill="1" applyBorder="1" applyAlignment="1" applyProtection="1">
      <alignment vertical="center"/>
    </xf>
    <xf numFmtId="0" fontId="3" fillId="0" borderId="0" xfId="0" applyFont="1" applyFill="1"/>
    <xf numFmtId="0" fontId="1" fillId="0" borderId="0" xfId="0" applyFont="1" applyFill="1" applyBorder="1" applyAlignment="1" applyProtection="1"/>
    <xf numFmtId="164" fontId="1" fillId="0" borderId="0" xfId="0" applyNumberFormat="1" applyFont="1" applyFill="1" applyBorder="1" applyAlignment="1" applyProtection="1">
      <alignment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</xf>
    <xf numFmtId="0" fontId="1" fillId="0" borderId="0" xfId="1" applyFont="1" applyFill="1" applyBorder="1" applyAlignment="1" applyProtection="1">
      <alignment vertical="center"/>
    </xf>
    <xf numFmtId="0" fontId="1" fillId="0" borderId="0" xfId="3" applyFont="1" applyFill="1" applyBorder="1" applyAlignment="1" applyProtection="1">
      <alignment vertical="center"/>
    </xf>
    <xf numFmtId="164" fontId="1" fillId="0" borderId="0" xfId="1" applyNumberFormat="1" applyFont="1" applyFill="1" applyBorder="1" applyAlignment="1" applyProtection="1">
      <alignment vertical="center"/>
    </xf>
    <xf numFmtId="0" fontId="27" fillId="0" borderId="0" xfId="0" applyFont="1" applyFill="1" applyBorder="1" applyAlignment="1" applyProtection="1">
      <alignment vertical="center"/>
    </xf>
    <xf numFmtId="0" fontId="6" fillId="0" borderId="0" xfId="0" applyFont="1" applyFill="1" applyBorder="1" applyAlignment="1" applyProtection="1">
      <alignment vertical="center"/>
    </xf>
    <xf numFmtId="0" fontId="28" fillId="25" borderId="0" xfId="0" applyFont="1" applyFill="1" applyBorder="1" applyAlignment="1" applyProtection="1">
      <alignment vertical="center"/>
    </xf>
    <xf numFmtId="0" fontId="29" fillId="25" borderId="0" xfId="0" applyFont="1" applyFill="1" applyBorder="1" applyAlignment="1" applyProtection="1">
      <alignment vertical="center"/>
    </xf>
    <xf numFmtId="0" fontId="28" fillId="0" borderId="0" xfId="0" applyFont="1" applyAlignment="1" applyProtection="1">
      <alignment horizontal="justify" vertical="top" textRotation="127" wrapText="1"/>
      <protection hidden="1"/>
    </xf>
    <xf numFmtId="0" fontId="30" fillId="25" borderId="0" xfId="0" applyFont="1" applyFill="1" applyBorder="1" applyAlignment="1" applyProtection="1">
      <alignment vertical="center"/>
    </xf>
    <xf numFmtId="0" fontId="31" fillId="25" borderId="0" xfId="0" applyFont="1" applyFill="1" applyBorder="1" applyAlignment="1" applyProtection="1">
      <alignment vertical="center"/>
    </xf>
    <xf numFmtId="0" fontId="27" fillId="25" borderId="0" xfId="0" applyFont="1" applyFill="1" applyBorder="1" applyAlignment="1" applyProtection="1">
      <alignment vertical="center"/>
    </xf>
    <xf numFmtId="0" fontId="28" fillId="26" borderId="0" xfId="0" applyFont="1" applyFill="1" applyBorder="1" applyAlignment="1" applyProtection="1">
      <alignment vertical="center"/>
    </xf>
    <xf numFmtId="0" fontId="32" fillId="26" borderId="0" xfId="0" applyFont="1" applyFill="1" applyBorder="1" applyAlignment="1" applyProtection="1">
      <alignment vertical="center"/>
    </xf>
    <xf numFmtId="14" fontId="27" fillId="25" borderId="0" xfId="0" applyNumberFormat="1" applyFont="1" applyFill="1" applyBorder="1" applyAlignment="1" applyProtection="1">
      <alignment vertical="center"/>
    </xf>
    <xf numFmtId="0" fontId="33" fillId="25" borderId="0" xfId="0" applyFont="1" applyFill="1" applyBorder="1" applyAlignment="1" applyProtection="1">
      <alignment vertical="center"/>
    </xf>
    <xf numFmtId="0" fontId="25" fillId="25" borderId="0" xfId="0" applyFont="1" applyFill="1" applyBorder="1" applyAlignment="1" applyProtection="1">
      <alignment vertical="center"/>
    </xf>
    <xf numFmtId="0" fontId="34" fillId="25" borderId="0" xfId="0" applyFont="1" applyFill="1" applyBorder="1" applyAlignment="1" applyProtection="1">
      <alignment vertical="center"/>
    </xf>
    <xf numFmtId="0" fontId="35" fillId="21" borderId="2" xfId="0" applyFont="1" applyFill="1" applyBorder="1" applyAlignment="1" applyProtection="1">
      <alignment horizontal="center" vertical="center" wrapText="1"/>
    </xf>
    <xf numFmtId="14" fontId="28" fillId="25" borderId="2" xfId="0" applyNumberFormat="1" applyFont="1" applyFill="1" applyBorder="1" applyAlignment="1" applyProtection="1">
      <alignment vertical="center"/>
    </xf>
    <xf numFmtId="0" fontId="28" fillId="25" borderId="2" xfId="0" applyNumberFormat="1" applyFont="1" applyFill="1" applyBorder="1" applyAlignment="1" applyProtection="1">
      <alignment horizontal="center" vertical="center"/>
    </xf>
    <xf numFmtId="167" fontId="28" fillId="25" borderId="2" xfId="0" applyNumberFormat="1" applyFont="1" applyFill="1" applyBorder="1" applyAlignment="1" applyProtection="1">
      <alignment vertical="center"/>
    </xf>
    <xf numFmtId="166" fontId="37" fillId="25" borderId="2" xfId="0" applyNumberFormat="1" applyFont="1" applyFill="1" applyBorder="1" applyAlignment="1" applyProtection="1">
      <alignment horizontal="right" vertical="center"/>
    </xf>
    <xf numFmtId="14" fontId="38" fillId="25" borderId="2" xfId="0" applyNumberFormat="1" applyFont="1" applyFill="1" applyBorder="1" applyAlignment="1" applyProtection="1">
      <alignment horizontal="center" vertical="center"/>
    </xf>
    <xf numFmtId="0" fontId="26" fillId="25" borderId="0" xfId="0" applyFont="1" applyFill="1" applyBorder="1" applyAlignment="1" applyProtection="1">
      <alignment vertical="center"/>
    </xf>
    <xf numFmtId="0" fontId="28" fillId="25" borderId="0" xfId="0" applyFont="1" applyFill="1" applyBorder="1" applyAlignment="1" applyProtection="1">
      <alignment wrapText="1"/>
    </xf>
    <xf numFmtId="0" fontId="28" fillId="25" borderId="0" xfId="0" applyFont="1" applyFill="1" applyBorder="1" applyAlignment="1" applyProtection="1">
      <alignment vertical="top" wrapText="1"/>
    </xf>
    <xf numFmtId="166" fontId="37" fillId="25" borderId="2" xfId="0" applyNumberFormat="1" applyFont="1" applyFill="1" applyBorder="1" applyAlignment="1" applyProtection="1">
      <alignment vertical="center"/>
    </xf>
    <xf numFmtId="166" fontId="37" fillId="25" borderId="3" xfId="0" applyNumberFormat="1" applyFont="1" applyFill="1" applyBorder="1" applyAlignment="1" applyProtection="1">
      <alignment vertical="center"/>
    </xf>
    <xf numFmtId="0" fontId="39" fillId="25" borderId="0" xfId="0" applyFont="1" applyFill="1" applyBorder="1" applyAlignment="1" applyProtection="1">
      <alignment vertical="center"/>
    </xf>
    <xf numFmtId="0" fontId="40" fillId="25" borderId="0" xfId="0" applyFont="1" applyFill="1" applyBorder="1" applyAlignment="1" applyProtection="1">
      <alignment horizontal="left" vertical="center"/>
    </xf>
    <xf numFmtId="0" fontId="41" fillId="25" borderId="0" xfId="0" applyFont="1" applyFill="1" applyBorder="1" applyAlignment="1" applyProtection="1">
      <alignment horizontal="left" vertical="center"/>
    </xf>
    <xf numFmtId="14" fontId="28" fillId="25" borderId="0" xfId="0" applyNumberFormat="1" applyFont="1" applyFill="1" applyBorder="1" applyAlignment="1" applyProtection="1">
      <alignment vertical="center"/>
    </xf>
    <xf numFmtId="14" fontId="28" fillId="25" borderId="0" xfId="0" applyNumberFormat="1" applyFont="1" applyFill="1" applyBorder="1" applyAlignment="1" applyProtection="1">
      <alignment horizontal="left" vertical="center"/>
    </xf>
    <xf numFmtId="14" fontId="43" fillId="25" borderId="0" xfId="0" applyNumberFormat="1" applyFont="1" applyFill="1" applyBorder="1" applyAlignment="1" applyProtection="1">
      <alignment horizontal="right" vertical="center"/>
    </xf>
    <xf numFmtId="0" fontId="41" fillId="0" borderId="0" xfId="0" applyFont="1" applyAlignment="1" applyProtection="1">
      <alignment horizontal="left"/>
      <protection hidden="1"/>
    </xf>
    <xf numFmtId="0" fontId="44" fillId="25" borderId="0" xfId="0" applyFont="1" applyFill="1" applyBorder="1" applyAlignment="1" applyProtection="1">
      <alignment horizontal="left" vertical="center"/>
    </xf>
    <xf numFmtId="14" fontId="38" fillId="25" borderId="0" xfId="0" applyNumberFormat="1" applyFont="1" applyFill="1" applyBorder="1" applyAlignment="1" applyProtection="1">
      <alignment horizontal="center" vertical="center"/>
    </xf>
    <xf numFmtId="0" fontId="36" fillId="25" borderId="0" xfId="0" applyFont="1" applyFill="1" applyBorder="1" applyAlignment="1" applyProtection="1">
      <alignment horizontal="center" vertical="center"/>
    </xf>
    <xf numFmtId="0" fontId="28" fillId="25" borderId="0" xfId="0" applyNumberFormat="1" applyFont="1" applyFill="1" applyBorder="1" applyAlignment="1" applyProtection="1">
      <alignment horizontal="center" vertical="center"/>
    </xf>
    <xf numFmtId="167" fontId="28" fillId="25" borderId="0" xfId="0" applyNumberFormat="1" applyFont="1" applyFill="1" applyBorder="1" applyAlignment="1" applyProtection="1">
      <alignment vertical="center"/>
    </xf>
    <xf numFmtId="166" fontId="37" fillId="25" borderId="0" xfId="0" applyNumberFormat="1" applyFont="1" applyFill="1" applyBorder="1" applyAlignment="1" applyProtection="1">
      <alignment horizontal="right" vertical="center"/>
    </xf>
    <xf numFmtId="166" fontId="32" fillId="25" borderId="0" xfId="0" applyNumberFormat="1" applyFont="1" applyFill="1" applyBorder="1" applyAlignment="1" applyProtection="1">
      <alignment vertical="center"/>
    </xf>
    <xf numFmtId="0" fontId="28" fillId="0" borderId="0" xfId="0" applyFont="1"/>
    <xf numFmtId="0" fontId="30" fillId="25" borderId="2" xfId="0" applyFont="1" applyFill="1" applyBorder="1" applyAlignment="1" applyProtection="1">
      <alignment horizontal="center" vertical="center"/>
    </xf>
    <xf numFmtId="0" fontId="37" fillId="25" borderId="0" xfId="0" applyFont="1" applyFill="1" applyBorder="1" applyAlignment="1" applyProtection="1">
      <alignment vertical="center"/>
    </xf>
    <xf numFmtId="0" fontId="45" fillId="25" borderId="0" xfId="0" applyFont="1" applyFill="1" applyBorder="1" applyAlignment="1" applyProtection="1">
      <alignment horizontal="right" vertical="center"/>
    </xf>
    <xf numFmtId="14" fontId="28" fillId="25" borderId="0" xfId="0" applyNumberFormat="1" applyFont="1" applyFill="1" applyBorder="1" applyAlignment="1" applyProtection="1">
      <alignment vertical="top" wrapText="1"/>
    </xf>
    <xf numFmtId="0" fontId="28" fillId="0" borderId="0" xfId="0" applyFont="1" applyFill="1" applyBorder="1" applyAlignment="1" applyProtection="1">
      <alignment vertical="center"/>
    </xf>
    <xf numFmtId="166" fontId="41" fillId="25" borderId="2" xfId="0" applyNumberFormat="1" applyFont="1" applyFill="1" applyBorder="1" applyAlignment="1" applyProtection="1">
      <alignment vertical="center"/>
    </xf>
    <xf numFmtId="0" fontId="1" fillId="25" borderId="0" xfId="0" applyFont="1" applyFill="1" applyBorder="1" applyAlignment="1" applyProtection="1">
      <alignment vertical="center"/>
    </xf>
    <xf numFmtId="166" fontId="34" fillId="25" borderId="2" xfId="0" applyNumberFormat="1" applyFont="1" applyFill="1" applyBorder="1" applyAlignment="1" applyProtection="1">
      <alignment horizontal="right" vertical="center"/>
    </xf>
    <xf numFmtId="14" fontId="47" fillId="25" borderId="2" xfId="0" applyNumberFormat="1" applyFont="1" applyFill="1" applyBorder="1" applyAlignment="1" applyProtection="1">
      <alignment horizontal="center" vertical="center"/>
    </xf>
    <xf numFmtId="0" fontId="48" fillId="25" borderId="2" xfId="0" applyNumberFormat="1" applyFont="1" applyFill="1" applyBorder="1" applyAlignment="1" applyProtection="1">
      <alignment horizontal="center" vertical="center"/>
    </xf>
    <xf numFmtId="1" fontId="30" fillId="25" borderId="2" xfId="0" applyNumberFormat="1" applyFont="1" applyFill="1" applyBorder="1" applyAlignment="1" applyProtection="1">
      <alignment horizontal="center" vertical="center"/>
    </xf>
    <xf numFmtId="0" fontId="47" fillId="25" borderId="2" xfId="0" applyNumberFormat="1" applyFont="1" applyFill="1" applyBorder="1" applyAlignment="1" applyProtection="1">
      <alignment horizontal="center" vertical="center"/>
    </xf>
    <xf numFmtId="1" fontId="29" fillId="25" borderId="2" xfId="0" applyNumberFormat="1" applyFont="1" applyFill="1" applyBorder="1" applyAlignment="1" applyProtection="1">
      <alignment horizontal="center" vertical="center"/>
    </xf>
    <xf numFmtId="9" fontId="28" fillId="25" borderId="0" xfId="0" applyNumberFormat="1" applyFont="1" applyFill="1" applyBorder="1" applyAlignment="1" applyProtection="1">
      <alignment horizontal="left" vertical="center"/>
    </xf>
    <xf numFmtId="0" fontId="48" fillId="25" borderId="13" xfId="0" applyFont="1" applyFill="1" applyBorder="1" applyAlignment="1" applyProtection="1">
      <alignment horizontal="right" vertical="center"/>
    </xf>
    <xf numFmtId="9" fontId="48" fillId="25" borderId="13" xfId="0" applyNumberFormat="1" applyFont="1" applyFill="1" applyBorder="1" applyAlignment="1" applyProtection="1">
      <alignment horizontal="right" vertical="center"/>
    </xf>
    <xf numFmtId="0" fontId="34" fillId="25" borderId="0" xfId="0" applyFont="1" applyFill="1" applyBorder="1" applyAlignment="1" applyProtection="1">
      <alignment vertical="center"/>
    </xf>
    <xf numFmtId="0" fontId="42" fillId="0" borderId="0" xfId="0" applyFont="1" applyBorder="1" applyAlignment="1" applyProtection="1">
      <alignment horizontal="center"/>
      <protection hidden="1"/>
    </xf>
  </cellXfs>
  <cellStyles count="46">
    <cellStyle name="20 % - Akzent1 2" xfId="4"/>
    <cellStyle name="20 % - Akzent2 2" xfId="5"/>
    <cellStyle name="20 % - Akzent3 2" xfId="6"/>
    <cellStyle name="20 % - Akzent4 2" xfId="7"/>
    <cellStyle name="20 % - Akzent5 2" xfId="8"/>
    <cellStyle name="20 % - Akzent6 2" xfId="9"/>
    <cellStyle name="40 % - Akzent1 2" xfId="10"/>
    <cellStyle name="40 % - Akzent2 2" xfId="11"/>
    <cellStyle name="40 % - Akzent3 2" xfId="12"/>
    <cellStyle name="40 % - Akzent4 2" xfId="13"/>
    <cellStyle name="40 % - Akzent5 2" xfId="14"/>
    <cellStyle name="40 % - Akzent6 2" xfId="15"/>
    <cellStyle name="60 % - Akzent1 2" xfId="16"/>
    <cellStyle name="60 % - Akzent2 2" xfId="17"/>
    <cellStyle name="60 % - Akzent3 2" xfId="18"/>
    <cellStyle name="60 % - Akzent4 2" xfId="19"/>
    <cellStyle name="60 % - Akzent5 2" xfId="20"/>
    <cellStyle name="60 % - Akzent6 2" xfId="21"/>
    <cellStyle name="Akzent1 2" xfId="22"/>
    <cellStyle name="Akzent2 2" xfId="23"/>
    <cellStyle name="Akzent3 2" xfId="24"/>
    <cellStyle name="Akzent4 2" xfId="25"/>
    <cellStyle name="Akzent5 2" xfId="26"/>
    <cellStyle name="Akzent6 2" xfId="27"/>
    <cellStyle name="Ausgabe 2" xfId="28"/>
    <cellStyle name="Berechnung 2" xfId="29"/>
    <cellStyle name="Eingabe 2" xfId="30"/>
    <cellStyle name="Ergebnis 1" xfId="31"/>
    <cellStyle name="Erklärender Text 2" xfId="32"/>
    <cellStyle name="Euro" xfId="2"/>
    <cellStyle name="Euro 2" xfId="33"/>
    <cellStyle name="Gut 2" xfId="34"/>
    <cellStyle name="Neutral 2" xfId="35"/>
    <cellStyle name="Notiz 2" xfId="36"/>
    <cellStyle name="Schlecht 2" xfId="37"/>
    <cellStyle name="Standard" xfId="0" builtinId="0"/>
    <cellStyle name="Standard 2" xfId="1"/>
    <cellStyle name="Standard 3" xfId="3"/>
    <cellStyle name="Überschrift 1 2" xfId="38"/>
    <cellStyle name="Überschrift 2 2" xfId="39"/>
    <cellStyle name="Überschrift 3 2" xfId="40"/>
    <cellStyle name="Überschrift 4 2" xfId="41"/>
    <cellStyle name="Überschrift 5" xfId="42"/>
    <cellStyle name="Verknüpfte Zelle 2" xfId="43"/>
    <cellStyle name="Warnender Text 2" xfId="44"/>
    <cellStyle name="Zelle überprüfen 2" xfId="4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18</xdr:row>
      <xdr:rowOff>0</xdr:rowOff>
    </xdr:from>
    <xdr:to>
      <xdr:col>1</xdr:col>
      <xdr:colOff>647700</xdr:colOff>
      <xdr:row>18</xdr:row>
      <xdr:rowOff>123825</xdr:rowOff>
    </xdr:to>
    <xdr:sp macro="" textlink="">
      <xdr:nvSpPr>
        <xdr:cNvPr id="12" name="Text Box 3"/>
        <xdr:cNvSpPr txBox="1">
          <a:spLocks noChangeArrowheads="1"/>
        </xdr:cNvSpPr>
      </xdr:nvSpPr>
      <xdr:spPr bwMode="auto">
        <a:xfrm>
          <a:off x="571500" y="3095625"/>
          <a:ext cx="76200" cy="1238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571500</xdr:colOff>
      <xdr:row>18</xdr:row>
      <xdr:rowOff>0</xdr:rowOff>
    </xdr:from>
    <xdr:to>
      <xdr:col>1</xdr:col>
      <xdr:colOff>647700</xdr:colOff>
      <xdr:row>18</xdr:row>
      <xdr:rowOff>123825</xdr:rowOff>
    </xdr:to>
    <xdr:sp macro="" textlink="">
      <xdr:nvSpPr>
        <xdr:cNvPr id="17" name="Text Box 3"/>
        <xdr:cNvSpPr txBox="1">
          <a:spLocks noChangeArrowheads="1"/>
        </xdr:cNvSpPr>
      </xdr:nvSpPr>
      <xdr:spPr bwMode="auto">
        <a:xfrm>
          <a:off x="571500" y="3095625"/>
          <a:ext cx="76200" cy="1238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</xdr:col>
      <xdr:colOff>38100</xdr:colOff>
      <xdr:row>0</xdr:row>
      <xdr:rowOff>47625</xdr:rowOff>
    </xdr:from>
    <xdr:to>
      <xdr:col>3</xdr:col>
      <xdr:colOff>504825</xdr:colOff>
      <xdr:row>5</xdr:row>
      <xdr:rowOff>57150</xdr:rowOff>
    </xdr:to>
    <xdr:pic>
      <xdr:nvPicPr>
        <xdr:cNvPr id="19" name="Grafik 11" descr="C:\Users\Alexander\Desktop\Neues Logo Hörgeräteservice\Hörgeräteservice(neues Logo)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47625"/>
          <a:ext cx="230505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571501</xdr:colOff>
      <xdr:row>0</xdr:row>
      <xdr:rowOff>8226</xdr:rowOff>
    </xdr:from>
    <xdr:to>
      <xdr:col>8</xdr:col>
      <xdr:colOff>57150</xdr:colOff>
      <xdr:row>6</xdr:row>
      <xdr:rowOff>39399</xdr:rowOff>
    </xdr:to>
    <xdr:sp macro="" textlink="">
      <xdr:nvSpPr>
        <xdr:cNvPr id="20" name="Textfeld 19"/>
        <xdr:cNvSpPr txBox="1"/>
      </xdr:nvSpPr>
      <xdr:spPr>
        <a:xfrm>
          <a:off x="4867276" y="8226"/>
          <a:ext cx="1533524" cy="11170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HG Gretzinger UG</a:t>
          </a:r>
          <a:r>
            <a:rPr lang="en-US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Hörgeräterservice</a:t>
          </a:r>
          <a:r>
            <a:rPr lang="en-US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Gibitzenhofstr. 86</a:t>
          </a:r>
          <a:r>
            <a:rPr lang="en-US"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r>
            <a:rPr lang="en-US" sz="11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90443 Nürnberg</a:t>
          </a:r>
          <a:r>
            <a:rPr lang="en-US"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r>
            <a:rPr lang="en-US" sz="11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Tel.: 0911/54 04 944</a:t>
          </a:r>
          <a:r>
            <a:rPr lang="en-US"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r>
            <a:rPr lang="en-US" sz="11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Fax: 0911/54 04 946</a:t>
          </a:r>
          <a:r>
            <a:rPr lang="en-US">
              <a:latin typeface="Arial" panose="020B0604020202020204" pitchFamily="34" charset="0"/>
              <a:cs typeface="Arial" panose="020B0604020202020204" pitchFamily="34" charset="0"/>
            </a:rPr>
            <a:t> 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634726</xdr:colOff>
      <xdr:row>16</xdr:row>
      <xdr:rowOff>190500</xdr:rowOff>
    </xdr:from>
    <xdr:to>
      <xdr:col>2</xdr:col>
      <xdr:colOff>768076</xdr:colOff>
      <xdr:row>18</xdr:row>
      <xdr:rowOff>39399</xdr:rowOff>
    </xdr:to>
    <xdr:sp macro="" textlink="">
      <xdr:nvSpPr>
        <xdr:cNvPr id="24" name="Textfeld 23"/>
        <xdr:cNvSpPr txBox="1"/>
      </xdr:nvSpPr>
      <xdr:spPr>
        <a:xfrm>
          <a:off x="634726" y="2951370"/>
          <a:ext cx="1751220" cy="3182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500" b="1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Rechnung</a:t>
          </a:r>
          <a:r>
            <a:rPr lang="en-US" sz="1400" b="1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Nr.</a:t>
          </a:r>
          <a:endParaRPr lang="en-US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638174</xdr:colOff>
      <xdr:row>39</xdr:row>
      <xdr:rowOff>123825</xdr:rowOff>
    </xdr:from>
    <xdr:to>
      <xdr:col>3</xdr:col>
      <xdr:colOff>1028700</xdr:colOff>
      <xdr:row>44</xdr:row>
      <xdr:rowOff>95249</xdr:rowOff>
    </xdr:to>
    <xdr:sp macro="" textlink="">
      <xdr:nvSpPr>
        <xdr:cNvPr id="25" name="Textfeld 24"/>
        <xdr:cNvSpPr txBox="1"/>
      </xdr:nvSpPr>
      <xdr:spPr>
        <a:xfrm>
          <a:off x="638174" y="8553450"/>
          <a:ext cx="2924176" cy="8381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HypoVereinsbank 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BLZ: 760 200 70     Kontonummer: 18432480</a:t>
          </a:r>
          <a:r>
            <a:rPr lang="en-US"/>
            <a:t> </a:t>
          </a: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IBAN:</a:t>
          </a:r>
          <a:r>
            <a:rPr lang="en-US"/>
            <a:t>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DE22760200700018432480</a:t>
          </a:r>
          <a:r>
            <a:rPr lang="en-US"/>
            <a:t> </a:t>
          </a: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Swift (BIC):</a:t>
          </a:r>
          <a:r>
            <a:rPr lang="en-US"/>
            <a:t>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HYVEDEMM460</a:t>
          </a:r>
          <a:r>
            <a:rPr lang="en-US"/>
            <a:t> 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</xdr:row>
          <xdr:rowOff>180975</xdr:rowOff>
        </xdr:from>
        <xdr:to>
          <xdr:col>7</xdr:col>
          <xdr:colOff>142875</xdr:colOff>
          <xdr:row>18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Berechne Rep.Kosten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9525</xdr:rowOff>
        </xdr:from>
        <xdr:to>
          <xdr:col>2</xdr:col>
          <xdr:colOff>561975</xdr:colOff>
          <xdr:row>9</xdr:row>
          <xdr:rowOff>142875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Akustiker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523875</xdr:colOff>
          <xdr:row>16</xdr:row>
          <xdr:rowOff>180975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Zeitraum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17</xdr:row>
          <xdr:rowOff>38100</xdr:rowOff>
        </xdr:from>
        <xdr:to>
          <xdr:col>0</xdr:col>
          <xdr:colOff>571500</xdr:colOff>
          <xdr:row>17</xdr:row>
          <xdr:rowOff>238125</xdr:rowOff>
        </xdr:to>
        <xdr:sp macro="" textlink="">
          <xdr:nvSpPr>
            <xdr:cNvPr id="2085" name="SpinButton1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19050</xdr:rowOff>
        </xdr:from>
        <xdr:to>
          <xdr:col>2</xdr:col>
          <xdr:colOff>0</xdr:colOff>
          <xdr:row>20</xdr:row>
          <xdr:rowOff>28575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104775</xdr:rowOff>
        </xdr:from>
        <xdr:to>
          <xdr:col>5</xdr:col>
          <xdr:colOff>676275</xdr:colOff>
          <xdr:row>2</xdr:row>
          <xdr:rowOff>28575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erstelle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8</xdr:row>
          <xdr:rowOff>0</xdr:rowOff>
        </xdr:from>
        <xdr:to>
          <xdr:col>4</xdr:col>
          <xdr:colOff>304800</xdr:colOff>
          <xdr:row>9</xdr:row>
          <xdr:rowOff>133350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Neuen Akustiker eintragen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0</xdr:row>
          <xdr:rowOff>161925</xdr:rowOff>
        </xdr:from>
        <xdr:to>
          <xdr:col>0</xdr:col>
          <xdr:colOff>2447925</xdr:colOff>
          <xdr:row>0</xdr:row>
          <xdr:rowOff>476250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zu Rechnung wechseln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H338"/>
  <sheetViews>
    <sheetView tabSelected="1" topLeftCell="A10" zoomScale="115" zoomScaleNormal="115" workbookViewId="0">
      <selection activeCell="G21" sqref="G21"/>
    </sheetView>
  </sheetViews>
  <sheetFormatPr baseColWidth="10" defaultRowHeight="15" x14ac:dyDescent="0.25"/>
  <cols>
    <col min="1" max="1" width="10.42578125" style="16" customWidth="1"/>
    <col min="2" max="2" width="12.7109375" style="14" customWidth="1"/>
    <col min="3" max="3" width="14.85546875" style="14" customWidth="1"/>
    <col min="4" max="4" width="16.42578125" style="14" customWidth="1"/>
    <col min="5" max="5" width="12.5703125" style="14" customWidth="1"/>
    <col min="6" max="6" width="11.28515625" style="14" customWidth="1"/>
    <col min="7" max="7" width="7.140625" style="14" customWidth="1"/>
    <col min="8" max="8" width="11.7109375" style="14" customWidth="1"/>
    <col min="9" max="257" width="11.42578125" style="16"/>
    <col min="258" max="258" width="12.7109375" style="16" customWidth="1"/>
    <col min="259" max="259" width="16.5703125" style="16" customWidth="1"/>
    <col min="260" max="260" width="17" style="16" customWidth="1"/>
    <col min="261" max="261" width="14" style="16" customWidth="1"/>
    <col min="262" max="262" width="12.140625" style="16" customWidth="1"/>
    <col min="263" max="263" width="9.140625" style="16" customWidth="1"/>
    <col min="264" max="264" width="13.140625" style="16" customWidth="1"/>
    <col min="265" max="513" width="11.42578125" style="16"/>
    <col min="514" max="514" width="12.7109375" style="16" customWidth="1"/>
    <col min="515" max="515" width="16.5703125" style="16" customWidth="1"/>
    <col min="516" max="516" width="17" style="16" customWidth="1"/>
    <col min="517" max="517" width="14" style="16" customWidth="1"/>
    <col min="518" max="518" width="12.140625" style="16" customWidth="1"/>
    <col min="519" max="519" width="9.140625" style="16" customWidth="1"/>
    <col min="520" max="520" width="13.140625" style="16" customWidth="1"/>
    <col min="521" max="769" width="11.42578125" style="16"/>
    <col min="770" max="770" width="12.7109375" style="16" customWidth="1"/>
    <col min="771" max="771" width="16.5703125" style="16" customWidth="1"/>
    <col min="772" max="772" width="17" style="16" customWidth="1"/>
    <col min="773" max="773" width="14" style="16" customWidth="1"/>
    <col min="774" max="774" width="12.140625" style="16" customWidth="1"/>
    <col min="775" max="775" width="9.140625" style="16" customWidth="1"/>
    <col min="776" max="776" width="13.140625" style="16" customWidth="1"/>
    <col min="777" max="1025" width="11.42578125" style="16"/>
    <col min="1026" max="1026" width="12.7109375" style="16" customWidth="1"/>
    <col min="1027" max="1027" width="16.5703125" style="16" customWidth="1"/>
    <col min="1028" max="1028" width="17" style="16" customWidth="1"/>
    <col min="1029" max="1029" width="14" style="16" customWidth="1"/>
    <col min="1030" max="1030" width="12.140625" style="16" customWidth="1"/>
    <col min="1031" max="1031" width="9.140625" style="16" customWidth="1"/>
    <col min="1032" max="1032" width="13.140625" style="16" customWidth="1"/>
    <col min="1033" max="1281" width="11.42578125" style="16"/>
    <col min="1282" max="1282" width="12.7109375" style="16" customWidth="1"/>
    <col min="1283" max="1283" width="16.5703125" style="16" customWidth="1"/>
    <col min="1284" max="1284" width="17" style="16" customWidth="1"/>
    <col min="1285" max="1285" width="14" style="16" customWidth="1"/>
    <col min="1286" max="1286" width="12.140625" style="16" customWidth="1"/>
    <col min="1287" max="1287" width="9.140625" style="16" customWidth="1"/>
    <col min="1288" max="1288" width="13.140625" style="16" customWidth="1"/>
    <col min="1289" max="1537" width="11.42578125" style="16"/>
    <col min="1538" max="1538" width="12.7109375" style="16" customWidth="1"/>
    <col min="1539" max="1539" width="16.5703125" style="16" customWidth="1"/>
    <col min="1540" max="1540" width="17" style="16" customWidth="1"/>
    <col min="1541" max="1541" width="14" style="16" customWidth="1"/>
    <col min="1542" max="1542" width="12.140625" style="16" customWidth="1"/>
    <col min="1543" max="1543" width="9.140625" style="16" customWidth="1"/>
    <col min="1544" max="1544" width="13.140625" style="16" customWidth="1"/>
    <col min="1545" max="1793" width="11.42578125" style="16"/>
    <col min="1794" max="1794" width="12.7109375" style="16" customWidth="1"/>
    <col min="1795" max="1795" width="16.5703125" style="16" customWidth="1"/>
    <col min="1796" max="1796" width="17" style="16" customWidth="1"/>
    <col min="1797" max="1797" width="14" style="16" customWidth="1"/>
    <col min="1798" max="1798" width="12.140625" style="16" customWidth="1"/>
    <col min="1799" max="1799" width="9.140625" style="16" customWidth="1"/>
    <col min="1800" max="1800" width="13.140625" style="16" customWidth="1"/>
    <col min="1801" max="2049" width="11.42578125" style="16"/>
    <col min="2050" max="2050" width="12.7109375" style="16" customWidth="1"/>
    <col min="2051" max="2051" width="16.5703125" style="16" customWidth="1"/>
    <col min="2052" max="2052" width="17" style="16" customWidth="1"/>
    <col min="2053" max="2053" width="14" style="16" customWidth="1"/>
    <col min="2054" max="2054" width="12.140625" style="16" customWidth="1"/>
    <col min="2055" max="2055" width="9.140625" style="16" customWidth="1"/>
    <col min="2056" max="2056" width="13.140625" style="16" customWidth="1"/>
    <col min="2057" max="2305" width="11.42578125" style="16"/>
    <col min="2306" max="2306" width="12.7109375" style="16" customWidth="1"/>
    <col min="2307" max="2307" width="16.5703125" style="16" customWidth="1"/>
    <col min="2308" max="2308" width="17" style="16" customWidth="1"/>
    <col min="2309" max="2309" width="14" style="16" customWidth="1"/>
    <col min="2310" max="2310" width="12.140625" style="16" customWidth="1"/>
    <col min="2311" max="2311" width="9.140625" style="16" customWidth="1"/>
    <col min="2312" max="2312" width="13.140625" style="16" customWidth="1"/>
    <col min="2313" max="2561" width="11.42578125" style="16"/>
    <col min="2562" max="2562" width="12.7109375" style="16" customWidth="1"/>
    <col min="2563" max="2563" width="16.5703125" style="16" customWidth="1"/>
    <col min="2564" max="2564" width="17" style="16" customWidth="1"/>
    <col min="2565" max="2565" width="14" style="16" customWidth="1"/>
    <col min="2566" max="2566" width="12.140625" style="16" customWidth="1"/>
    <col min="2567" max="2567" width="9.140625" style="16" customWidth="1"/>
    <col min="2568" max="2568" width="13.140625" style="16" customWidth="1"/>
    <col min="2569" max="2817" width="11.42578125" style="16"/>
    <col min="2818" max="2818" width="12.7109375" style="16" customWidth="1"/>
    <col min="2819" max="2819" width="16.5703125" style="16" customWidth="1"/>
    <col min="2820" max="2820" width="17" style="16" customWidth="1"/>
    <col min="2821" max="2821" width="14" style="16" customWidth="1"/>
    <col min="2822" max="2822" width="12.140625" style="16" customWidth="1"/>
    <col min="2823" max="2823" width="9.140625" style="16" customWidth="1"/>
    <col min="2824" max="2824" width="13.140625" style="16" customWidth="1"/>
    <col min="2825" max="3073" width="11.42578125" style="16"/>
    <col min="3074" max="3074" width="12.7109375" style="16" customWidth="1"/>
    <col min="3075" max="3075" width="16.5703125" style="16" customWidth="1"/>
    <col min="3076" max="3076" width="17" style="16" customWidth="1"/>
    <col min="3077" max="3077" width="14" style="16" customWidth="1"/>
    <col min="3078" max="3078" width="12.140625" style="16" customWidth="1"/>
    <col min="3079" max="3079" width="9.140625" style="16" customWidth="1"/>
    <col min="3080" max="3080" width="13.140625" style="16" customWidth="1"/>
    <col min="3081" max="3329" width="11.42578125" style="16"/>
    <col min="3330" max="3330" width="12.7109375" style="16" customWidth="1"/>
    <col min="3331" max="3331" width="16.5703125" style="16" customWidth="1"/>
    <col min="3332" max="3332" width="17" style="16" customWidth="1"/>
    <col min="3333" max="3333" width="14" style="16" customWidth="1"/>
    <col min="3334" max="3334" width="12.140625" style="16" customWidth="1"/>
    <col min="3335" max="3335" width="9.140625" style="16" customWidth="1"/>
    <col min="3336" max="3336" width="13.140625" style="16" customWidth="1"/>
    <col min="3337" max="3585" width="11.42578125" style="16"/>
    <col min="3586" max="3586" width="12.7109375" style="16" customWidth="1"/>
    <col min="3587" max="3587" width="16.5703125" style="16" customWidth="1"/>
    <col min="3588" max="3588" width="17" style="16" customWidth="1"/>
    <col min="3589" max="3589" width="14" style="16" customWidth="1"/>
    <col min="3590" max="3590" width="12.140625" style="16" customWidth="1"/>
    <col min="3591" max="3591" width="9.140625" style="16" customWidth="1"/>
    <col min="3592" max="3592" width="13.140625" style="16" customWidth="1"/>
    <col min="3593" max="3841" width="11.42578125" style="16"/>
    <col min="3842" max="3842" width="12.7109375" style="16" customWidth="1"/>
    <col min="3843" max="3843" width="16.5703125" style="16" customWidth="1"/>
    <col min="3844" max="3844" width="17" style="16" customWidth="1"/>
    <col min="3845" max="3845" width="14" style="16" customWidth="1"/>
    <col min="3846" max="3846" width="12.140625" style="16" customWidth="1"/>
    <col min="3847" max="3847" width="9.140625" style="16" customWidth="1"/>
    <col min="3848" max="3848" width="13.140625" style="16" customWidth="1"/>
    <col min="3849" max="4097" width="11.42578125" style="16"/>
    <col min="4098" max="4098" width="12.7109375" style="16" customWidth="1"/>
    <col min="4099" max="4099" width="16.5703125" style="16" customWidth="1"/>
    <col min="4100" max="4100" width="17" style="16" customWidth="1"/>
    <col min="4101" max="4101" width="14" style="16" customWidth="1"/>
    <col min="4102" max="4102" width="12.140625" style="16" customWidth="1"/>
    <col min="4103" max="4103" width="9.140625" style="16" customWidth="1"/>
    <col min="4104" max="4104" width="13.140625" style="16" customWidth="1"/>
    <col min="4105" max="4353" width="11.42578125" style="16"/>
    <col min="4354" max="4354" width="12.7109375" style="16" customWidth="1"/>
    <col min="4355" max="4355" width="16.5703125" style="16" customWidth="1"/>
    <col min="4356" max="4356" width="17" style="16" customWidth="1"/>
    <col min="4357" max="4357" width="14" style="16" customWidth="1"/>
    <col min="4358" max="4358" width="12.140625" style="16" customWidth="1"/>
    <col min="4359" max="4359" width="9.140625" style="16" customWidth="1"/>
    <col min="4360" max="4360" width="13.140625" style="16" customWidth="1"/>
    <col min="4361" max="4609" width="11.42578125" style="16"/>
    <col min="4610" max="4610" width="12.7109375" style="16" customWidth="1"/>
    <col min="4611" max="4611" width="16.5703125" style="16" customWidth="1"/>
    <col min="4612" max="4612" width="17" style="16" customWidth="1"/>
    <col min="4613" max="4613" width="14" style="16" customWidth="1"/>
    <col min="4614" max="4614" width="12.140625" style="16" customWidth="1"/>
    <col min="4615" max="4615" width="9.140625" style="16" customWidth="1"/>
    <col min="4616" max="4616" width="13.140625" style="16" customWidth="1"/>
    <col min="4617" max="4865" width="11.42578125" style="16"/>
    <col min="4866" max="4866" width="12.7109375" style="16" customWidth="1"/>
    <col min="4867" max="4867" width="16.5703125" style="16" customWidth="1"/>
    <col min="4868" max="4868" width="17" style="16" customWidth="1"/>
    <col min="4869" max="4869" width="14" style="16" customWidth="1"/>
    <col min="4870" max="4870" width="12.140625" style="16" customWidth="1"/>
    <col min="4871" max="4871" width="9.140625" style="16" customWidth="1"/>
    <col min="4872" max="4872" width="13.140625" style="16" customWidth="1"/>
    <col min="4873" max="5121" width="11.42578125" style="16"/>
    <col min="5122" max="5122" width="12.7109375" style="16" customWidth="1"/>
    <col min="5123" max="5123" width="16.5703125" style="16" customWidth="1"/>
    <col min="5124" max="5124" width="17" style="16" customWidth="1"/>
    <col min="5125" max="5125" width="14" style="16" customWidth="1"/>
    <col min="5126" max="5126" width="12.140625" style="16" customWidth="1"/>
    <col min="5127" max="5127" width="9.140625" style="16" customWidth="1"/>
    <col min="5128" max="5128" width="13.140625" style="16" customWidth="1"/>
    <col min="5129" max="5377" width="11.42578125" style="16"/>
    <col min="5378" max="5378" width="12.7109375" style="16" customWidth="1"/>
    <col min="5379" max="5379" width="16.5703125" style="16" customWidth="1"/>
    <col min="5380" max="5380" width="17" style="16" customWidth="1"/>
    <col min="5381" max="5381" width="14" style="16" customWidth="1"/>
    <col min="5382" max="5382" width="12.140625" style="16" customWidth="1"/>
    <col min="5383" max="5383" width="9.140625" style="16" customWidth="1"/>
    <col min="5384" max="5384" width="13.140625" style="16" customWidth="1"/>
    <col min="5385" max="5633" width="11.42578125" style="16"/>
    <col min="5634" max="5634" width="12.7109375" style="16" customWidth="1"/>
    <col min="5635" max="5635" width="16.5703125" style="16" customWidth="1"/>
    <col min="5636" max="5636" width="17" style="16" customWidth="1"/>
    <col min="5637" max="5637" width="14" style="16" customWidth="1"/>
    <col min="5638" max="5638" width="12.140625" style="16" customWidth="1"/>
    <col min="5639" max="5639" width="9.140625" style="16" customWidth="1"/>
    <col min="5640" max="5640" width="13.140625" style="16" customWidth="1"/>
    <col min="5641" max="5889" width="11.42578125" style="16"/>
    <col min="5890" max="5890" width="12.7109375" style="16" customWidth="1"/>
    <col min="5891" max="5891" width="16.5703125" style="16" customWidth="1"/>
    <col min="5892" max="5892" width="17" style="16" customWidth="1"/>
    <col min="5893" max="5893" width="14" style="16" customWidth="1"/>
    <col min="5894" max="5894" width="12.140625" style="16" customWidth="1"/>
    <col min="5895" max="5895" width="9.140625" style="16" customWidth="1"/>
    <col min="5896" max="5896" width="13.140625" style="16" customWidth="1"/>
    <col min="5897" max="6145" width="11.42578125" style="16"/>
    <col min="6146" max="6146" width="12.7109375" style="16" customWidth="1"/>
    <col min="6147" max="6147" width="16.5703125" style="16" customWidth="1"/>
    <col min="6148" max="6148" width="17" style="16" customWidth="1"/>
    <col min="6149" max="6149" width="14" style="16" customWidth="1"/>
    <col min="6150" max="6150" width="12.140625" style="16" customWidth="1"/>
    <col min="6151" max="6151" width="9.140625" style="16" customWidth="1"/>
    <col min="6152" max="6152" width="13.140625" style="16" customWidth="1"/>
    <col min="6153" max="6401" width="11.42578125" style="16"/>
    <col min="6402" max="6402" width="12.7109375" style="16" customWidth="1"/>
    <col min="6403" max="6403" width="16.5703125" style="16" customWidth="1"/>
    <col min="6404" max="6404" width="17" style="16" customWidth="1"/>
    <col min="6405" max="6405" width="14" style="16" customWidth="1"/>
    <col min="6406" max="6406" width="12.140625" style="16" customWidth="1"/>
    <col min="6407" max="6407" width="9.140625" style="16" customWidth="1"/>
    <col min="6408" max="6408" width="13.140625" style="16" customWidth="1"/>
    <col min="6409" max="6657" width="11.42578125" style="16"/>
    <col min="6658" max="6658" width="12.7109375" style="16" customWidth="1"/>
    <col min="6659" max="6659" width="16.5703125" style="16" customWidth="1"/>
    <col min="6660" max="6660" width="17" style="16" customWidth="1"/>
    <col min="6661" max="6661" width="14" style="16" customWidth="1"/>
    <col min="6662" max="6662" width="12.140625" style="16" customWidth="1"/>
    <col min="6663" max="6663" width="9.140625" style="16" customWidth="1"/>
    <col min="6664" max="6664" width="13.140625" style="16" customWidth="1"/>
    <col min="6665" max="6913" width="11.42578125" style="16"/>
    <col min="6914" max="6914" width="12.7109375" style="16" customWidth="1"/>
    <col min="6915" max="6915" width="16.5703125" style="16" customWidth="1"/>
    <col min="6916" max="6916" width="17" style="16" customWidth="1"/>
    <col min="6917" max="6917" width="14" style="16" customWidth="1"/>
    <col min="6918" max="6918" width="12.140625" style="16" customWidth="1"/>
    <col min="6919" max="6919" width="9.140625" style="16" customWidth="1"/>
    <col min="6920" max="6920" width="13.140625" style="16" customWidth="1"/>
    <col min="6921" max="7169" width="11.42578125" style="16"/>
    <col min="7170" max="7170" width="12.7109375" style="16" customWidth="1"/>
    <col min="7171" max="7171" width="16.5703125" style="16" customWidth="1"/>
    <col min="7172" max="7172" width="17" style="16" customWidth="1"/>
    <col min="7173" max="7173" width="14" style="16" customWidth="1"/>
    <col min="7174" max="7174" width="12.140625" style="16" customWidth="1"/>
    <col min="7175" max="7175" width="9.140625" style="16" customWidth="1"/>
    <col min="7176" max="7176" width="13.140625" style="16" customWidth="1"/>
    <col min="7177" max="7425" width="11.42578125" style="16"/>
    <col min="7426" max="7426" width="12.7109375" style="16" customWidth="1"/>
    <col min="7427" max="7427" width="16.5703125" style="16" customWidth="1"/>
    <col min="7428" max="7428" width="17" style="16" customWidth="1"/>
    <col min="7429" max="7429" width="14" style="16" customWidth="1"/>
    <col min="7430" max="7430" width="12.140625" style="16" customWidth="1"/>
    <col min="7431" max="7431" width="9.140625" style="16" customWidth="1"/>
    <col min="7432" max="7432" width="13.140625" style="16" customWidth="1"/>
    <col min="7433" max="7681" width="11.42578125" style="16"/>
    <col min="7682" max="7682" width="12.7109375" style="16" customWidth="1"/>
    <col min="7683" max="7683" width="16.5703125" style="16" customWidth="1"/>
    <col min="7684" max="7684" width="17" style="16" customWidth="1"/>
    <col min="7685" max="7685" width="14" style="16" customWidth="1"/>
    <col min="7686" max="7686" width="12.140625" style="16" customWidth="1"/>
    <col min="7687" max="7687" width="9.140625" style="16" customWidth="1"/>
    <col min="7688" max="7688" width="13.140625" style="16" customWidth="1"/>
    <col min="7689" max="7937" width="11.42578125" style="16"/>
    <col min="7938" max="7938" width="12.7109375" style="16" customWidth="1"/>
    <col min="7939" max="7939" width="16.5703125" style="16" customWidth="1"/>
    <col min="7940" max="7940" width="17" style="16" customWidth="1"/>
    <col min="7941" max="7941" width="14" style="16" customWidth="1"/>
    <col min="7942" max="7942" width="12.140625" style="16" customWidth="1"/>
    <col min="7943" max="7943" width="9.140625" style="16" customWidth="1"/>
    <col min="7944" max="7944" width="13.140625" style="16" customWidth="1"/>
    <col min="7945" max="8193" width="11.42578125" style="16"/>
    <col min="8194" max="8194" width="12.7109375" style="16" customWidth="1"/>
    <col min="8195" max="8195" width="16.5703125" style="16" customWidth="1"/>
    <col min="8196" max="8196" width="17" style="16" customWidth="1"/>
    <col min="8197" max="8197" width="14" style="16" customWidth="1"/>
    <col min="8198" max="8198" width="12.140625" style="16" customWidth="1"/>
    <col min="8199" max="8199" width="9.140625" style="16" customWidth="1"/>
    <col min="8200" max="8200" width="13.140625" style="16" customWidth="1"/>
    <col min="8201" max="8449" width="11.42578125" style="16"/>
    <col min="8450" max="8450" width="12.7109375" style="16" customWidth="1"/>
    <col min="8451" max="8451" width="16.5703125" style="16" customWidth="1"/>
    <col min="8452" max="8452" width="17" style="16" customWidth="1"/>
    <col min="8453" max="8453" width="14" style="16" customWidth="1"/>
    <col min="8454" max="8454" width="12.140625" style="16" customWidth="1"/>
    <col min="8455" max="8455" width="9.140625" style="16" customWidth="1"/>
    <col min="8456" max="8456" width="13.140625" style="16" customWidth="1"/>
    <col min="8457" max="8705" width="11.42578125" style="16"/>
    <col min="8706" max="8706" width="12.7109375" style="16" customWidth="1"/>
    <col min="8707" max="8707" width="16.5703125" style="16" customWidth="1"/>
    <col min="8708" max="8708" width="17" style="16" customWidth="1"/>
    <col min="8709" max="8709" width="14" style="16" customWidth="1"/>
    <col min="8710" max="8710" width="12.140625" style="16" customWidth="1"/>
    <col min="8711" max="8711" width="9.140625" style="16" customWidth="1"/>
    <col min="8712" max="8712" width="13.140625" style="16" customWidth="1"/>
    <col min="8713" max="8961" width="11.42578125" style="16"/>
    <col min="8962" max="8962" width="12.7109375" style="16" customWidth="1"/>
    <col min="8963" max="8963" width="16.5703125" style="16" customWidth="1"/>
    <col min="8964" max="8964" width="17" style="16" customWidth="1"/>
    <col min="8965" max="8965" width="14" style="16" customWidth="1"/>
    <col min="8966" max="8966" width="12.140625" style="16" customWidth="1"/>
    <col min="8967" max="8967" width="9.140625" style="16" customWidth="1"/>
    <col min="8968" max="8968" width="13.140625" style="16" customWidth="1"/>
    <col min="8969" max="9217" width="11.42578125" style="16"/>
    <col min="9218" max="9218" width="12.7109375" style="16" customWidth="1"/>
    <col min="9219" max="9219" width="16.5703125" style="16" customWidth="1"/>
    <col min="9220" max="9220" width="17" style="16" customWidth="1"/>
    <col min="9221" max="9221" width="14" style="16" customWidth="1"/>
    <col min="9222" max="9222" width="12.140625" style="16" customWidth="1"/>
    <col min="9223" max="9223" width="9.140625" style="16" customWidth="1"/>
    <col min="9224" max="9224" width="13.140625" style="16" customWidth="1"/>
    <col min="9225" max="9473" width="11.42578125" style="16"/>
    <col min="9474" max="9474" width="12.7109375" style="16" customWidth="1"/>
    <col min="9475" max="9475" width="16.5703125" style="16" customWidth="1"/>
    <col min="9476" max="9476" width="17" style="16" customWidth="1"/>
    <col min="9477" max="9477" width="14" style="16" customWidth="1"/>
    <col min="9478" max="9478" width="12.140625" style="16" customWidth="1"/>
    <col min="9479" max="9479" width="9.140625" style="16" customWidth="1"/>
    <col min="9480" max="9480" width="13.140625" style="16" customWidth="1"/>
    <col min="9481" max="9729" width="11.42578125" style="16"/>
    <col min="9730" max="9730" width="12.7109375" style="16" customWidth="1"/>
    <col min="9731" max="9731" width="16.5703125" style="16" customWidth="1"/>
    <col min="9732" max="9732" width="17" style="16" customWidth="1"/>
    <col min="9733" max="9733" width="14" style="16" customWidth="1"/>
    <col min="9734" max="9734" width="12.140625" style="16" customWidth="1"/>
    <col min="9735" max="9735" width="9.140625" style="16" customWidth="1"/>
    <col min="9736" max="9736" width="13.140625" style="16" customWidth="1"/>
    <col min="9737" max="9985" width="11.42578125" style="16"/>
    <col min="9986" max="9986" width="12.7109375" style="16" customWidth="1"/>
    <col min="9987" max="9987" width="16.5703125" style="16" customWidth="1"/>
    <col min="9988" max="9988" width="17" style="16" customWidth="1"/>
    <col min="9989" max="9989" width="14" style="16" customWidth="1"/>
    <col min="9990" max="9990" width="12.140625" style="16" customWidth="1"/>
    <col min="9991" max="9991" width="9.140625" style="16" customWidth="1"/>
    <col min="9992" max="9992" width="13.140625" style="16" customWidth="1"/>
    <col min="9993" max="10241" width="11.42578125" style="16"/>
    <col min="10242" max="10242" width="12.7109375" style="16" customWidth="1"/>
    <col min="10243" max="10243" width="16.5703125" style="16" customWidth="1"/>
    <col min="10244" max="10244" width="17" style="16" customWidth="1"/>
    <col min="10245" max="10245" width="14" style="16" customWidth="1"/>
    <col min="10246" max="10246" width="12.140625" style="16" customWidth="1"/>
    <col min="10247" max="10247" width="9.140625" style="16" customWidth="1"/>
    <col min="10248" max="10248" width="13.140625" style="16" customWidth="1"/>
    <col min="10249" max="10497" width="11.42578125" style="16"/>
    <col min="10498" max="10498" width="12.7109375" style="16" customWidth="1"/>
    <col min="10499" max="10499" width="16.5703125" style="16" customWidth="1"/>
    <col min="10500" max="10500" width="17" style="16" customWidth="1"/>
    <col min="10501" max="10501" width="14" style="16" customWidth="1"/>
    <col min="10502" max="10502" width="12.140625" style="16" customWidth="1"/>
    <col min="10503" max="10503" width="9.140625" style="16" customWidth="1"/>
    <col min="10504" max="10504" width="13.140625" style="16" customWidth="1"/>
    <col min="10505" max="10753" width="11.42578125" style="16"/>
    <col min="10754" max="10754" width="12.7109375" style="16" customWidth="1"/>
    <col min="10755" max="10755" width="16.5703125" style="16" customWidth="1"/>
    <col min="10756" max="10756" width="17" style="16" customWidth="1"/>
    <col min="10757" max="10757" width="14" style="16" customWidth="1"/>
    <col min="10758" max="10758" width="12.140625" style="16" customWidth="1"/>
    <col min="10759" max="10759" width="9.140625" style="16" customWidth="1"/>
    <col min="10760" max="10760" width="13.140625" style="16" customWidth="1"/>
    <col min="10761" max="11009" width="11.42578125" style="16"/>
    <col min="11010" max="11010" width="12.7109375" style="16" customWidth="1"/>
    <col min="11011" max="11011" width="16.5703125" style="16" customWidth="1"/>
    <col min="11012" max="11012" width="17" style="16" customWidth="1"/>
    <col min="11013" max="11013" width="14" style="16" customWidth="1"/>
    <col min="11014" max="11014" width="12.140625" style="16" customWidth="1"/>
    <col min="11015" max="11015" width="9.140625" style="16" customWidth="1"/>
    <col min="11016" max="11016" width="13.140625" style="16" customWidth="1"/>
    <col min="11017" max="11265" width="11.42578125" style="16"/>
    <col min="11266" max="11266" width="12.7109375" style="16" customWidth="1"/>
    <col min="11267" max="11267" width="16.5703125" style="16" customWidth="1"/>
    <col min="11268" max="11268" width="17" style="16" customWidth="1"/>
    <col min="11269" max="11269" width="14" style="16" customWidth="1"/>
    <col min="11270" max="11270" width="12.140625" style="16" customWidth="1"/>
    <col min="11271" max="11271" width="9.140625" style="16" customWidth="1"/>
    <col min="11272" max="11272" width="13.140625" style="16" customWidth="1"/>
    <col min="11273" max="11521" width="11.42578125" style="16"/>
    <col min="11522" max="11522" width="12.7109375" style="16" customWidth="1"/>
    <col min="11523" max="11523" width="16.5703125" style="16" customWidth="1"/>
    <col min="11524" max="11524" width="17" style="16" customWidth="1"/>
    <col min="11525" max="11525" width="14" style="16" customWidth="1"/>
    <col min="11526" max="11526" width="12.140625" style="16" customWidth="1"/>
    <col min="11527" max="11527" width="9.140625" style="16" customWidth="1"/>
    <col min="11528" max="11528" width="13.140625" style="16" customWidth="1"/>
    <col min="11529" max="11777" width="11.42578125" style="16"/>
    <col min="11778" max="11778" width="12.7109375" style="16" customWidth="1"/>
    <col min="11779" max="11779" width="16.5703125" style="16" customWidth="1"/>
    <col min="11780" max="11780" width="17" style="16" customWidth="1"/>
    <col min="11781" max="11781" width="14" style="16" customWidth="1"/>
    <col min="11782" max="11782" width="12.140625" style="16" customWidth="1"/>
    <col min="11783" max="11783" width="9.140625" style="16" customWidth="1"/>
    <col min="11784" max="11784" width="13.140625" style="16" customWidth="1"/>
    <col min="11785" max="12033" width="11.42578125" style="16"/>
    <col min="12034" max="12034" width="12.7109375" style="16" customWidth="1"/>
    <col min="12035" max="12035" width="16.5703125" style="16" customWidth="1"/>
    <col min="12036" max="12036" width="17" style="16" customWidth="1"/>
    <col min="12037" max="12037" width="14" style="16" customWidth="1"/>
    <col min="12038" max="12038" width="12.140625" style="16" customWidth="1"/>
    <col min="12039" max="12039" width="9.140625" style="16" customWidth="1"/>
    <col min="12040" max="12040" width="13.140625" style="16" customWidth="1"/>
    <col min="12041" max="12289" width="11.42578125" style="16"/>
    <col min="12290" max="12290" width="12.7109375" style="16" customWidth="1"/>
    <col min="12291" max="12291" width="16.5703125" style="16" customWidth="1"/>
    <col min="12292" max="12292" width="17" style="16" customWidth="1"/>
    <col min="12293" max="12293" width="14" style="16" customWidth="1"/>
    <col min="12294" max="12294" width="12.140625" style="16" customWidth="1"/>
    <col min="12295" max="12295" width="9.140625" style="16" customWidth="1"/>
    <col min="12296" max="12296" width="13.140625" style="16" customWidth="1"/>
    <col min="12297" max="12545" width="11.42578125" style="16"/>
    <col min="12546" max="12546" width="12.7109375" style="16" customWidth="1"/>
    <col min="12547" max="12547" width="16.5703125" style="16" customWidth="1"/>
    <col min="12548" max="12548" width="17" style="16" customWidth="1"/>
    <col min="12549" max="12549" width="14" style="16" customWidth="1"/>
    <col min="12550" max="12550" width="12.140625" style="16" customWidth="1"/>
    <col min="12551" max="12551" width="9.140625" style="16" customWidth="1"/>
    <col min="12552" max="12552" width="13.140625" style="16" customWidth="1"/>
    <col min="12553" max="12801" width="11.42578125" style="16"/>
    <col min="12802" max="12802" width="12.7109375" style="16" customWidth="1"/>
    <col min="12803" max="12803" width="16.5703125" style="16" customWidth="1"/>
    <col min="12804" max="12804" width="17" style="16" customWidth="1"/>
    <col min="12805" max="12805" width="14" style="16" customWidth="1"/>
    <col min="12806" max="12806" width="12.140625" style="16" customWidth="1"/>
    <col min="12807" max="12807" width="9.140625" style="16" customWidth="1"/>
    <col min="12808" max="12808" width="13.140625" style="16" customWidth="1"/>
    <col min="12809" max="13057" width="11.42578125" style="16"/>
    <col min="13058" max="13058" width="12.7109375" style="16" customWidth="1"/>
    <col min="13059" max="13059" width="16.5703125" style="16" customWidth="1"/>
    <col min="13060" max="13060" width="17" style="16" customWidth="1"/>
    <col min="13061" max="13061" width="14" style="16" customWidth="1"/>
    <col min="13062" max="13062" width="12.140625" style="16" customWidth="1"/>
    <col min="13063" max="13063" width="9.140625" style="16" customWidth="1"/>
    <col min="13064" max="13064" width="13.140625" style="16" customWidth="1"/>
    <col min="13065" max="13313" width="11.42578125" style="16"/>
    <col min="13314" max="13314" width="12.7109375" style="16" customWidth="1"/>
    <col min="13315" max="13315" width="16.5703125" style="16" customWidth="1"/>
    <col min="13316" max="13316" width="17" style="16" customWidth="1"/>
    <col min="13317" max="13317" width="14" style="16" customWidth="1"/>
    <col min="13318" max="13318" width="12.140625" style="16" customWidth="1"/>
    <col min="13319" max="13319" width="9.140625" style="16" customWidth="1"/>
    <col min="13320" max="13320" width="13.140625" style="16" customWidth="1"/>
    <col min="13321" max="13569" width="11.42578125" style="16"/>
    <col min="13570" max="13570" width="12.7109375" style="16" customWidth="1"/>
    <col min="13571" max="13571" width="16.5703125" style="16" customWidth="1"/>
    <col min="13572" max="13572" width="17" style="16" customWidth="1"/>
    <col min="13573" max="13573" width="14" style="16" customWidth="1"/>
    <col min="13574" max="13574" width="12.140625" style="16" customWidth="1"/>
    <col min="13575" max="13575" width="9.140625" style="16" customWidth="1"/>
    <col min="13576" max="13576" width="13.140625" style="16" customWidth="1"/>
    <col min="13577" max="13825" width="11.42578125" style="16"/>
    <col min="13826" max="13826" width="12.7109375" style="16" customWidth="1"/>
    <col min="13827" max="13827" width="16.5703125" style="16" customWidth="1"/>
    <col min="13828" max="13828" width="17" style="16" customWidth="1"/>
    <col min="13829" max="13829" width="14" style="16" customWidth="1"/>
    <col min="13830" max="13830" width="12.140625" style="16" customWidth="1"/>
    <col min="13831" max="13831" width="9.140625" style="16" customWidth="1"/>
    <col min="13832" max="13832" width="13.140625" style="16" customWidth="1"/>
    <col min="13833" max="14081" width="11.42578125" style="16"/>
    <col min="14082" max="14082" width="12.7109375" style="16" customWidth="1"/>
    <col min="14083" max="14083" width="16.5703125" style="16" customWidth="1"/>
    <col min="14084" max="14084" width="17" style="16" customWidth="1"/>
    <col min="14085" max="14085" width="14" style="16" customWidth="1"/>
    <col min="14086" max="14086" width="12.140625" style="16" customWidth="1"/>
    <col min="14087" max="14087" width="9.140625" style="16" customWidth="1"/>
    <col min="14088" max="14088" width="13.140625" style="16" customWidth="1"/>
    <col min="14089" max="14337" width="11.42578125" style="16"/>
    <col min="14338" max="14338" width="12.7109375" style="16" customWidth="1"/>
    <col min="14339" max="14339" width="16.5703125" style="16" customWidth="1"/>
    <col min="14340" max="14340" width="17" style="16" customWidth="1"/>
    <col min="14341" max="14341" width="14" style="16" customWidth="1"/>
    <col min="14342" max="14342" width="12.140625" style="16" customWidth="1"/>
    <col min="14343" max="14343" width="9.140625" style="16" customWidth="1"/>
    <col min="14344" max="14344" width="13.140625" style="16" customWidth="1"/>
    <col min="14345" max="14593" width="11.42578125" style="16"/>
    <col min="14594" max="14594" width="12.7109375" style="16" customWidth="1"/>
    <col min="14595" max="14595" width="16.5703125" style="16" customWidth="1"/>
    <col min="14596" max="14596" width="17" style="16" customWidth="1"/>
    <col min="14597" max="14597" width="14" style="16" customWidth="1"/>
    <col min="14598" max="14598" width="12.140625" style="16" customWidth="1"/>
    <col min="14599" max="14599" width="9.140625" style="16" customWidth="1"/>
    <col min="14600" max="14600" width="13.140625" style="16" customWidth="1"/>
    <col min="14601" max="14849" width="11.42578125" style="16"/>
    <col min="14850" max="14850" width="12.7109375" style="16" customWidth="1"/>
    <col min="14851" max="14851" width="16.5703125" style="16" customWidth="1"/>
    <col min="14852" max="14852" width="17" style="16" customWidth="1"/>
    <col min="14853" max="14853" width="14" style="16" customWidth="1"/>
    <col min="14854" max="14854" width="12.140625" style="16" customWidth="1"/>
    <col min="14855" max="14855" width="9.140625" style="16" customWidth="1"/>
    <col min="14856" max="14856" width="13.140625" style="16" customWidth="1"/>
    <col min="14857" max="15105" width="11.42578125" style="16"/>
    <col min="15106" max="15106" width="12.7109375" style="16" customWidth="1"/>
    <col min="15107" max="15107" width="16.5703125" style="16" customWidth="1"/>
    <col min="15108" max="15108" width="17" style="16" customWidth="1"/>
    <col min="15109" max="15109" width="14" style="16" customWidth="1"/>
    <col min="15110" max="15110" width="12.140625" style="16" customWidth="1"/>
    <col min="15111" max="15111" width="9.140625" style="16" customWidth="1"/>
    <col min="15112" max="15112" width="13.140625" style="16" customWidth="1"/>
    <col min="15113" max="15361" width="11.42578125" style="16"/>
    <col min="15362" max="15362" width="12.7109375" style="16" customWidth="1"/>
    <col min="15363" max="15363" width="16.5703125" style="16" customWidth="1"/>
    <col min="15364" max="15364" width="17" style="16" customWidth="1"/>
    <col min="15365" max="15365" width="14" style="16" customWidth="1"/>
    <col min="15366" max="15366" width="12.140625" style="16" customWidth="1"/>
    <col min="15367" max="15367" width="9.140625" style="16" customWidth="1"/>
    <col min="15368" max="15368" width="13.140625" style="16" customWidth="1"/>
    <col min="15369" max="15617" width="11.42578125" style="16"/>
    <col min="15618" max="15618" width="12.7109375" style="16" customWidth="1"/>
    <col min="15619" max="15619" width="16.5703125" style="16" customWidth="1"/>
    <col min="15620" max="15620" width="17" style="16" customWidth="1"/>
    <col min="15621" max="15621" width="14" style="16" customWidth="1"/>
    <col min="15622" max="15622" width="12.140625" style="16" customWidth="1"/>
    <col min="15623" max="15623" width="9.140625" style="16" customWidth="1"/>
    <col min="15624" max="15624" width="13.140625" style="16" customWidth="1"/>
    <col min="15625" max="15873" width="11.42578125" style="16"/>
    <col min="15874" max="15874" width="12.7109375" style="16" customWidth="1"/>
    <col min="15875" max="15875" width="16.5703125" style="16" customWidth="1"/>
    <col min="15876" max="15876" width="17" style="16" customWidth="1"/>
    <col min="15877" max="15877" width="14" style="16" customWidth="1"/>
    <col min="15878" max="15878" width="12.140625" style="16" customWidth="1"/>
    <col min="15879" max="15879" width="9.140625" style="16" customWidth="1"/>
    <col min="15880" max="15880" width="13.140625" style="16" customWidth="1"/>
    <col min="15881" max="16129" width="11.42578125" style="16"/>
    <col min="16130" max="16130" width="12.7109375" style="16" customWidth="1"/>
    <col min="16131" max="16131" width="16.5703125" style="16" customWidth="1"/>
    <col min="16132" max="16132" width="17" style="16" customWidth="1"/>
    <col min="16133" max="16133" width="14" style="16" customWidth="1"/>
    <col min="16134" max="16134" width="12.140625" style="16" customWidth="1"/>
    <col min="16135" max="16135" width="9.140625" style="16" customWidth="1"/>
    <col min="16136" max="16136" width="13.140625" style="16" customWidth="1"/>
    <col min="16137" max="16384" width="11.42578125" style="16"/>
  </cols>
  <sheetData>
    <row r="1" spans="2:8" ht="14.25" x14ac:dyDescent="0.25">
      <c r="G1" s="15"/>
    </row>
    <row r="4" spans="2:8" ht="14.25" x14ac:dyDescent="0.25">
      <c r="G4" s="17"/>
    </row>
    <row r="5" spans="2:8" ht="14.25" x14ac:dyDescent="0.25">
      <c r="G5" s="17"/>
    </row>
    <row r="6" spans="2:8" ht="14.25" x14ac:dyDescent="0.25">
      <c r="G6" s="17"/>
    </row>
    <row r="7" spans="2:8" ht="14.25" x14ac:dyDescent="0.25">
      <c r="H7" s="18"/>
    </row>
    <row r="8" spans="2:8" ht="14.25" x14ac:dyDescent="0.25">
      <c r="H8" s="18"/>
    </row>
    <row r="9" spans="2:8" ht="14.25" x14ac:dyDescent="0.25">
      <c r="H9" s="18"/>
    </row>
    <row r="10" spans="2:8" ht="14.25" x14ac:dyDescent="0.25">
      <c r="H10" s="18"/>
    </row>
    <row r="11" spans="2:8" ht="14.25" x14ac:dyDescent="0.25">
      <c r="B11" s="14" t="s">
        <v>24</v>
      </c>
      <c r="H11" s="22">
        <v>45747</v>
      </c>
    </row>
    <row r="12" spans="2:8" ht="14.25" x14ac:dyDescent="0.25">
      <c r="B12" s="19" t="s">
        <v>7</v>
      </c>
      <c r="C12" s="19"/>
    </row>
    <row r="13" spans="2:8" ht="14.25" x14ac:dyDescent="0.25">
      <c r="B13" s="58" t="s">
        <v>389</v>
      </c>
      <c r="C13" s="19"/>
    </row>
    <row r="14" spans="2:8" ht="14.25" x14ac:dyDescent="0.25">
      <c r="B14" s="19" t="s">
        <v>390</v>
      </c>
      <c r="C14" s="19"/>
    </row>
    <row r="16" spans="2:8" ht="8.25" customHeight="1" x14ac:dyDescent="0.25">
      <c r="B16" s="19"/>
      <c r="D16" s="20"/>
      <c r="E16" s="21"/>
      <c r="F16" s="21"/>
      <c r="G16" s="21"/>
      <c r="H16" s="20"/>
    </row>
    <row r="17" spans="2:8" ht="18" customHeight="1" x14ac:dyDescent="0.25"/>
    <row r="18" spans="2:8" ht="19.5" x14ac:dyDescent="0.25">
      <c r="B18" s="23"/>
      <c r="C18" s="54">
        <v>8014</v>
      </c>
      <c r="D18" s="24"/>
    </row>
    <row r="19" spans="2:8" ht="24.75" customHeight="1" x14ac:dyDescent="0.25">
      <c r="B19" s="53" t="s">
        <v>395</v>
      </c>
      <c r="F19" s="42"/>
      <c r="H19" s="41"/>
    </row>
    <row r="20" spans="2:8" ht="20.100000000000001" customHeight="1" x14ac:dyDescent="0.25">
      <c r="B20" s="26" t="s">
        <v>369</v>
      </c>
      <c r="C20" s="26" t="s">
        <v>370</v>
      </c>
      <c r="D20" s="26" t="s">
        <v>371</v>
      </c>
      <c r="E20" s="26" t="s">
        <v>3</v>
      </c>
      <c r="F20" s="26" t="s">
        <v>372</v>
      </c>
      <c r="G20" s="26" t="s">
        <v>373</v>
      </c>
      <c r="H20" s="26" t="s">
        <v>374</v>
      </c>
    </row>
    <row r="21" spans="2:8" ht="20.100000000000001" customHeight="1" x14ac:dyDescent="0.25">
      <c r="B21" s="27">
        <v>45747</v>
      </c>
      <c r="C21" s="64" t="s">
        <v>396</v>
      </c>
      <c r="D21" s="52" t="s">
        <v>382</v>
      </c>
      <c r="E21" s="63" t="s">
        <v>394</v>
      </c>
      <c r="F21" s="29">
        <v>120</v>
      </c>
      <c r="G21" s="29">
        <v>5.95</v>
      </c>
      <c r="H21" s="59">
        <f>(F21+G21)</f>
        <v>125.95</v>
      </c>
    </row>
    <row r="22" spans="2:8" ht="20.100000000000001" customHeight="1" x14ac:dyDescent="0.25">
      <c r="B22" s="27"/>
      <c r="C22" s="64"/>
      <c r="D22" s="52"/>
      <c r="E22" s="63"/>
      <c r="F22" s="29"/>
      <c r="G22" s="29"/>
      <c r="H22" s="59"/>
    </row>
    <row r="23" spans="2:8" ht="20.100000000000001" customHeight="1" x14ac:dyDescent="0.25">
      <c r="B23" s="27"/>
      <c r="C23" s="64"/>
      <c r="D23" s="52"/>
      <c r="E23" s="63"/>
      <c r="F23" s="29" t="s">
        <v>379</v>
      </c>
      <c r="G23" s="29" t="s">
        <v>379</v>
      </c>
      <c r="H23" s="59"/>
    </row>
    <row r="24" spans="2:8" ht="20.100000000000001" customHeight="1" x14ac:dyDescent="0.25">
      <c r="B24" s="27"/>
      <c r="C24" s="64"/>
      <c r="D24" s="52"/>
      <c r="E24" s="63"/>
      <c r="F24" s="29" t="s">
        <v>379</v>
      </c>
      <c r="G24" s="29" t="s">
        <v>379</v>
      </c>
      <c r="H24" s="59"/>
    </row>
    <row r="25" spans="2:8" ht="20.100000000000001" customHeight="1" x14ac:dyDescent="0.25">
      <c r="B25" s="27"/>
      <c r="C25" s="62"/>
      <c r="D25" s="52"/>
      <c r="E25" s="63"/>
      <c r="F25" s="29" t="s">
        <v>379</v>
      </c>
      <c r="G25" s="29" t="s">
        <v>379</v>
      </c>
      <c r="H25" s="59"/>
    </row>
    <row r="26" spans="2:8" ht="20.100000000000001" customHeight="1" x14ac:dyDescent="0.25">
      <c r="B26" s="27"/>
      <c r="C26" s="62"/>
      <c r="D26" s="52"/>
      <c r="E26" s="61"/>
      <c r="F26" s="29" t="s">
        <v>379</v>
      </c>
      <c r="G26" s="29" t="s">
        <v>379</v>
      </c>
      <c r="H26" s="59"/>
    </row>
    <row r="27" spans="2:8" ht="20.100000000000001" customHeight="1" x14ac:dyDescent="0.25">
      <c r="B27" s="27"/>
      <c r="C27" s="60"/>
      <c r="D27" s="52"/>
      <c r="E27" s="61"/>
      <c r="F27" s="29" t="s">
        <v>379</v>
      </c>
      <c r="G27" s="29" t="s">
        <v>379</v>
      </c>
      <c r="H27" s="59"/>
    </row>
    <row r="28" spans="2:8" ht="20.100000000000001" customHeight="1" x14ac:dyDescent="0.25">
      <c r="B28" s="27"/>
      <c r="C28" s="60"/>
      <c r="D28" s="52"/>
      <c r="E28" s="61"/>
      <c r="F28" s="29" t="s">
        <v>379</v>
      </c>
      <c r="G28" s="29" t="s">
        <v>379</v>
      </c>
      <c r="H28" s="59"/>
    </row>
    <row r="29" spans="2:8" ht="19.5" customHeight="1" x14ac:dyDescent="0.25">
      <c r="B29" s="27"/>
      <c r="C29" s="60"/>
      <c r="D29" s="52"/>
      <c r="E29" s="61"/>
      <c r="F29" s="29" t="s">
        <v>379</v>
      </c>
      <c r="G29" s="29" t="s">
        <v>379</v>
      </c>
      <c r="H29" s="59"/>
    </row>
    <row r="30" spans="2:8" ht="20.100000000000001" customHeight="1" x14ac:dyDescent="0.25">
      <c r="B30" s="27"/>
      <c r="C30" s="60"/>
      <c r="D30" s="52"/>
      <c r="E30" s="63"/>
      <c r="F30" s="29" t="s">
        <v>379</v>
      </c>
      <c r="G30" s="29" t="s">
        <v>379</v>
      </c>
      <c r="H30" s="59"/>
    </row>
    <row r="31" spans="2:8" ht="20.100000000000001" customHeight="1" x14ac:dyDescent="0.25">
      <c r="B31" s="27"/>
      <c r="C31" s="31"/>
      <c r="D31" s="52"/>
      <c r="E31" s="63"/>
      <c r="F31" s="29" t="s">
        <v>379</v>
      </c>
      <c r="G31" s="29" t="s">
        <v>379</v>
      </c>
      <c r="H31" s="30"/>
    </row>
    <row r="32" spans="2:8" ht="20.100000000000001" customHeight="1" x14ac:dyDescent="0.25">
      <c r="B32" s="27"/>
      <c r="C32" s="31"/>
      <c r="D32" s="52"/>
      <c r="E32" s="28"/>
      <c r="F32" s="29" t="s">
        <v>379</v>
      </c>
      <c r="G32" s="29" t="s">
        <v>379</v>
      </c>
      <c r="H32" s="30"/>
    </row>
    <row r="33" spans="2:8" ht="20.100000000000001" customHeight="1" x14ac:dyDescent="0.25">
      <c r="B33" s="27"/>
      <c r="C33" s="31"/>
      <c r="D33" s="52"/>
      <c r="E33" s="28"/>
      <c r="F33" s="29" t="s">
        <v>379</v>
      </c>
      <c r="G33" s="29" t="s">
        <v>379</v>
      </c>
      <c r="H33" s="30"/>
    </row>
    <row r="34" spans="2:8" ht="17.25" customHeight="1" x14ac:dyDescent="0.25">
      <c r="B34" s="40"/>
      <c r="C34" s="45"/>
      <c r="D34" s="46"/>
      <c r="E34" s="47"/>
      <c r="F34" s="48" t="s">
        <v>379</v>
      </c>
      <c r="G34" s="48" t="s">
        <v>379</v>
      </c>
      <c r="H34" s="49"/>
    </row>
    <row r="35" spans="2:8" ht="18.75" customHeight="1" x14ac:dyDescent="0.2">
      <c r="B35" s="19" t="s">
        <v>388</v>
      </c>
      <c r="C35" s="32"/>
      <c r="D35" s="32"/>
      <c r="E35" s="32"/>
      <c r="F35" s="32"/>
      <c r="G35" s="32" t="s">
        <v>379</v>
      </c>
      <c r="H35" s="33"/>
    </row>
    <row r="36" spans="2:8" ht="15" customHeight="1" x14ac:dyDescent="0.25">
      <c r="B36" s="55"/>
      <c r="C36" s="34"/>
      <c r="D36" s="34"/>
      <c r="G36" s="66" t="s">
        <v>392</v>
      </c>
      <c r="H36" s="35">
        <f>SUM(H21:H33)</f>
        <v>125.95</v>
      </c>
    </row>
    <row r="37" spans="2:8" ht="15" customHeight="1" x14ac:dyDescent="0.25">
      <c r="B37" s="55"/>
      <c r="C37" s="34"/>
      <c r="D37" s="34"/>
      <c r="F37" s="65"/>
      <c r="G37" s="67">
        <v>0.19</v>
      </c>
      <c r="H37" s="36">
        <f>H36*19%</f>
        <v>23.930500000000002</v>
      </c>
    </row>
    <row r="38" spans="2:8" ht="15" customHeight="1" x14ac:dyDescent="0.25">
      <c r="B38" s="55"/>
      <c r="C38" s="34"/>
      <c r="D38" s="34"/>
      <c r="G38" s="66" t="s">
        <v>393</v>
      </c>
      <c r="H38" s="57">
        <f>H36+H37</f>
        <v>149.88050000000001</v>
      </c>
    </row>
    <row r="39" spans="2:8" ht="11.25" customHeight="1" x14ac:dyDescent="0.25">
      <c r="B39" s="55"/>
      <c r="C39" s="34"/>
      <c r="D39" s="34"/>
      <c r="F39" s="14" t="s">
        <v>379</v>
      </c>
      <c r="G39" s="14" t="s">
        <v>379</v>
      </c>
      <c r="H39" s="50"/>
    </row>
    <row r="40" spans="2:8" ht="14.25" x14ac:dyDescent="0.25">
      <c r="B40" s="68" t="s">
        <v>391</v>
      </c>
      <c r="C40" s="68"/>
      <c r="D40" s="68"/>
      <c r="E40" s="68"/>
      <c r="F40" s="68"/>
      <c r="G40" s="68"/>
      <c r="H40" s="68"/>
    </row>
    <row r="41" spans="2:8" ht="14.25" x14ac:dyDescent="0.25">
      <c r="B41" s="37"/>
      <c r="C41" s="25"/>
      <c r="D41" s="25"/>
      <c r="E41" s="25"/>
      <c r="F41" s="25"/>
      <c r="G41" s="25"/>
      <c r="H41" s="25"/>
    </row>
    <row r="42" spans="2:8" ht="12.75" x14ac:dyDescent="0.25">
      <c r="B42" s="44"/>
      <c r="C42" s="38"/>
      <c r="D42" s="38"/>
      <c r="E42" s="38"/>
      <c r="F42" s="38"/>
      <c r="G42" s="38"/>
      <c r="H42" s="38"/>
    </row>
    <row r="43" spans="2:8" ht="12.75" x14ac:dyDescent="0.2">
      <c r="B43" s="43"/>
      <c r="C43" s="39"/>
      <c r="D43" s="38"/>
      <c r="E43" s="38"/>
      <c r="F43" s="38"/>
      <c r="G43" s="38"/>
      <c r="H43" s="38"/>
    </row>
    <row r="44" spans="2:8" ht="14.25" x14ac:dyDescent="0.2">
      <c r="B44" s="43"/>
      <c r="C44" s="39"/>
      <c r="D44" s="38"/>
    </row>
    <row r="45" spans="2:8" ht="12.75" x14ac:dyDescent="0.2">
      <c r="B45" s="69" t="s">
        <v>376</v>
      </c>
      <c r="C45" s="69"/>
      <c r="D45" s="69"/>
      <c r="E45" s="69"/>
      <c r="F45" s="69"/>
      <c r="G45" s="69"/>
      <c r="H45" s="69"/>
    </row>
    <row r="46" spans="2:8" ht="12.75" x14ac:dyDescent="0.2">
      <c r="B46" s="69" t="s">
        <v>377</v>
      </c>
      <c r="C46" s="69"/>
      <c r="D46" s="69"/>
      <c r="E46" s="69"/>
      <c r="F46" s="69"/>
      <c r="G46" s="69"/>
      <c r="H46" s="69"/>
    </row>
    <row r="47" spans="2:8" ht="14.25" x14ac:dyDescent="0.25">
      <c r="B47" s="56"/>
      <c r="C47" s="56"/>
      <c r="D47" s="56"/>
      <c r="E47" s="56"/>
      <c r="F47" s="56"/>
      <c r="G47" s="56"/>
      <c r="H47" s="56"/>
    </row>
    <row r="48" spans="2:8" ht="14.25" x14ac:dyDescent="0.25">
      <c r="B48" s="56"/>
      <c r="C48" s="56"/>
      <c r="D48" s="56"/>
      <c r="E48" s="56"/>
      <c r="F48" s="56"/>
      <c r="G48" s="56"/>
      <c r="H48" s="56"/>
    </row>
    <row r="49" spans="2:8" ht="14.25" x14ac:dyDescent="0.25">
      <c r="B49" s="56"/>
      <c r="C49" s="56"/>
      <c r="D49" s="56"/>
      <c r="E49" s="56"/>
      <c r="F49" s="56"/>
      <c r="G49" s="56"/>
      <c r="H49" s="56"/>
    </row>
    <row r="50" spans="2:8" ht="14.25" x14ac:dyDescent="0.25">
      <c r="B50" s="56"/>
      <c r="C50" s="56"/>
      <c r="D50" s="56"/>
      <c r="E50" s="56"/>
      <c r="F50" s="56"/>
      <c r="G50" s="56"/>
      <c r="H50" s="56"/>
    </row>
    <row r="51" spans="2:8" ht="14.25" x14ac:dyDescent="0.25">
      <c r="B51" s="56"/>
      <c r="C51" s="56"/>
      <c r="D51" s="56"/>
      <c r="E51" s="56"/>
      <c r="F51" s="56"/>
      <c r="G51" s="56"/>
      <c r="H51" s="56"/>
    </row>
    <row r="52" spans="2:8" ht="14.25" x14ac:dyDescent="0.25">
      <c r="B52" s="56"/>
      <c r="C52" s="56"/>
      <c r="D52" s="56"/>
      <c r="E52" s="56"/>
      <c r="F52" s="56"/>
      <c r="G52" s="56"/>
      <c r="H52" s="56"/>
    </row>
    <row r="53" spans="2:8" ht="14.25" x14ac:dyDescent="0.25">
      <c r="B53" s="56"/>
      <c r="C53" s="56"/>
      <c r="D53" s="56"/>
      <c r="E53" s="56"/>
      <c r="F53" s="56"/>
      <c r="G53" s="56"/>
      <c r="H53" s="56"/>
    </row>
    <row r="54" spans="2:8" ht="14.25" x14ac:dyDescent="0.25">
      <c r="B54" s="56"/>
      <c r="C54" s="56"/>
      <c r="D54" s="56"/>
      <c r="E54" s="56"/>
      <c r="F54" s="56"/>
      <c r="G54" s="56"/>
      <c r="H54" s="56"/>
    </row>
    <row r="55" spans="2:8" ht="14.25" x14ac:dyDescent="0.25">
      <c r="B55" s="56"/>
      <c r="C55" s="56"/>
      <c r="D55" s="56"/>
      <c r="E55" s="56"/>
      <c r="F55" s="56"/>
      <c r="G55" s="56"/>
      <c r="H55" s="56"/>
    </row>
    <row r="56" spans="2:8" ht="14.25" x14ac:dyDescent="0.25">
      <c r="B56" s="56"/>
      <c r="C56" s="56"/>
      <c r="D56" s="56"/>
      <c r="E56" s="56"/>
      <c r="F56" s="56"/>
      <c r="G56" s="56"/>
      <c r="H56" s="56"/>
    </row>
    <row r="57" spans="2:8" ht="14.25" x14ac:dyDescent="0.25">
      <c r="B57" s="56"/>
      <c r="C57" s="56"/>
      <c r="D57" s="56"/>
      <c r="E57" s="56"/>
      <c r="F57" s="56"/>
      <c r="G57" s="56"/>
      <c r="H57" s="56"/>
    </row>
    <row r="58" spans="2:8" ht="14.25" x14ac:dyDescent="0.25">
      <c r="B58" s="56"/>
      <c r="C58" s="56"/>
      <c r="D58" s="56"/>
      <c r="E58" s="56"/>
      <c r="F58" s="56"/>
      <c r="G58" s="56"/>
      <c r="H58" s="56"/>
    </row>
    <row r="59" spans="2:8" ht="14.25" x14ac:dyDescent="0.25">
      <c r="B59" s="56"/>
      <c r="C59" s="56"/>
      <c r="D59" s="56"/>
      <c r="E59" s="56"/>
      <c r="F59" s="56"/>
      <c r="G59" s="56"/>
      <c r="H59" s="56"/>
    </row>
    <row r="60" spans="2:8" ht="14.25" x14ac:dyDescent="0.25">
      <c r="B60" s="56"/>
      <c r="C60" s="56"/>
      <c r="D60" s="56"/>
      <c r="E60" s="56"/>
      <c r="F60" s="56"/>
      <c r="G60" s="56"/>
      <c r="H60" s="56"/>
    </row>
    <row r="61" spans="2:8" ht="14.25" x14ac:dyDescent="0.25">
      <c r="B61" s="56"/>
      <c r="C61" s="56"/>
      <c r="D61" s="56"/>
      <c r="E61" s="56"/>
      <c r="F61" s="56"/>
      <c r="G61" s="56"/>
      <c r="H61" s="56"/>
    </row>
    <row r="62" spans="2:8" ht="14.25" x14ac:dyDescent="0.25">
      <c r="B62" s="56"/>
      <c r="C62" s="56"/>
      <c r="D62" s="56"/>
      <c r="E62" s="56"/>
      <c r="F62" s="56"/>
      <c r="G62" s="56"/>
      <c r="H62" s="56"/>
    </row>
    <row r="63" spans="2:8" ht="14.25" x14ac:dyDescent="0.25">
      <c r="B63" s="56"/>
      <c r="C63" s="56"/>
      <c r="D63" s="56"/>
      <c r="E63" s="56"/>
      <c r="F63" s="56"/>
      <c r="G63" s="56"/>
      <c r="H63" s="56"/>
    </row>
    <row r="64" spans="2:8" ht="14.25" x14ac:dyDescent="0.25">
      <c r="B64" s="56"/>
      <c r="C64" s="56"/>
      <c r="D64" s="56"/>
      <c r="E64" s="56"/>
      <c r="F64" s="56"/>
      <c r="G64" s="56"/>
      <c r="H64" s="56"/>
    </row>
    <row r="65" spans="2:8" ht="14.25" x14ac:dyDescent="0.25">
      <c r="B65" s="56"/>
      <c r="C65" s="56"/>
      <c r="D65" s="56"/>
      <c r="E65" s="56"/>
      <c r="F65" s="56"/>
      <c r="G65" s="56"/>
      <c r="H65" s="56"/>
    </row>
    <row r="66" spans="2:8" ht="14.25" x14ac:dyDescent="0.25">
      <c r="B66" s="56"/>
      <c r="C66" s="56"/>
      <c r="D66" s="56"/>
      <c r="E66" s="56"/>
      <c r="F66" s="56"/>
      <c r="G66" s="56"/>
      <c r="H66" s="56"/>
    </row>
    <row r="67" spans="2:8" ht="14.25" x14ac:dyDescent="0.25">
      <c r="B67" s="56"/>
      <c r="C67" s="56"/>
      <c r="D67" s="56"/>
      <c r="E67" s="56"/>
      <c r="F67" s="56"/>
      <c r="G67" s="56"/>
      <c r="H67" s="56"/>
    </row>
    <row r="68" spans="2:8" ht="14.25" x14ac:dyDescent="0.25">
      <c r="B68" s="56"/>
      <c r="C68" s="56"/>
      <c r="D68" s="56"/>
      <c r="E68" s="56"/>
      <c r="F68" s="56"/>
      <c r="G68" s="56"/>
      <c r="H68" s="56"/>
    </row>
    <row r="69" spans="2:8" ht="14.25" x14ac:dyDescent="0.25">
      <c r="B69" s="56"/>
      <c r="C69" s="56"/>
      <c r="D69" s="56"/>
      <c r="E69" s="56"/>
      <c r="F69" s="56"/>
      <c r="G69" s="56"/>
      <c r="H69" s="56"/>
    </row>
    <row r="70" spans="2:8" ht="14.25" x14ac:dyDescent="0.25">
      <c r="B70" s="56"/>
      <c r="C70" s="56"/>
      <c r="D70" s="56"/>
      <c r="E70" s="56"/>
      <c r="F70" s="56"/>
      <c r="G70" s="56"/>
      <c r="H70" s="56"/>
    </row>
    <row r="71" spans="2:8" ht="14.25" x14ac:dyDescent="0.25">
      <c r="B71" s="56"/>
      <c r="C71" s="56"/>
      <c r="D71" s="56"/>
      <c r="E71" s="56"/>
      <c r="F71" s="56"/>
      <c r="G71" s="56"/>
      <c r="H71" s="56"/>
    </row>
    <row r="72" spans="2:8" ht="14.25" x14ac:dyDescent="0.25">
      <c r="B72" s="56"/>
      <c r="C72" s="56"/>
      <c r="D72" s="56"/>
      <c r="E72" s="56"/>
      <c r="F72" s="56"/>
      <c r="G72" s="56"/>
      <c r="H72" s="56"/>
    </row>
    <row r="73" spans="2:8" ht="14.25" x14ac:dyDescent="0.25">
      <c r="B73" s="56"/>
      <c r="C73" s="56"/>
      <c r="D73" s="56"/>
      <c r="E73" s="56"/>
      <c r="F73" s="56"/>
      <c r="G73" s="56"/>
      <c r="H73" s="56"/>
    </row>
    <row r="74" spans="2:8" ht="14.25" x14ac:dyDescent="0.25">
      <c r="B74" s="56"/>
      <c r="C74" s="56"/>
      <c r="D74" s="56"/>
      <c r="E74" s="56"/>
      <c r="F74" s="56"/>
      <c r="G74" s="56"/>
      <c r="H74" s="56"/>
    </row>
    <row r="75" spans="2:8" ht="14.25" x14ac:dyDescent="0.25">
      <c r="B75" s="56"/>
      <c r="C75" s="56"/>
      <c r="D75" s="56"/>
      <c r="E75" s="56"/>
      <c r="F75" s="56"/>
      <c r="G75" s="56"/>
      <c r="H75" s="56"/>
    </row>
    <row r="76" spans="2:8" ht="14.25" x14ac:dyDescent="0.25">
      <c r="B76" s="56"/>
      <c r="C76" s="56"/>
      <c r="D76" s="56"/>
      <c r="E76" s="56"/>
      <c r="F76" s="56"/>
      <c r="G76" s="56"/>
      <c r="H76" s="56"/>
    </row>
    <row r="77" spans="2:8" ht="14.25" x14ac:dyDescent="0.25">
      <c r="B77" s="56"/>
      <c r="C77" s="56"/>
      <c r="D77" s="56"/>
      <c r="E77" s="56"/>
      <c r="F77" s="56"/>
      <c r="G77" s="56"/>
      <c r="H77" s="56"/>
    </row>
    <row r="78" spans="2:8" ht="14.25" x14ac:dyDescent="0.25">
      <c r="B78" s="56"/>
      <c r="C78" s="56"/>
      <c r="D78" s="56"/>
      <c r="E78" s="56"/>
      <c r="F78" s="56"/>
      <c r="G78" s="56"/>
      <c r="H78" s="56"/>
    </row>
    <row r="79" spans="2:8" ht="14.25" x14ac:dyDescent="0.25">
      <c r="B79" s="56"/>
      <c r="C79" s="56"/>
      <c r="D79" s="56"/>
      <c r="E79" s="56"/>
      <c r="F79" s="56"/>
      <c r="G79" s="56"/>
      <c r="H79" s="56"/>
    </row>
    <row r="80" spans="2:8" ht="14.25" x14ac:dyDescent="0.25">
      <c r="B80" s="56"/>
      <c r="C80" s="56"/>
      <c r="D80" s="56"/>
      <c r="E80" s="56"/>
      <c r="F80" s="56"/>
      <c r="G80" s="56"/>
      <c r="H80" s="56"/>
    </row>
    <row r="81" spans="2:8" ht="14.25" x14ac:dyDescent="0.25">
      <c r="B81" s="56"/>
      <c r="C81" s="56"/>
      <c r="D81" s="56"/>
      <c r="E81" s="56"/>
      <c r="F81" s="56"/>
      <c r="G81" s="56"/>
      <c r="H81" s="56"/>
    </row>
    <row r="82" spans="2:8" ht="14.25" x14ac:dyDescent="0.25">
      <c r="B82" s="56"/>
      <c r="C82" s="56"/>
      <c r="D82" s="56"/>
      <c r="E82" s="56"/>
      <c r="F82" s="56"/>
      <c r="G82" s="56"/>
      <c r="H82" s="56"/>
    </row>
    <row r="83" spans="2:8" ht="14.25" x14ac:dyDescent="0.25">
      <c r="B83" s="56"/>
      <c r="C83" s="56"/>
      <c r="D83" s="56"/>
      <c r="E83" s="56"/>
      <c r="F83" s="56"/>
      <c r="G83" s="56"/>
      <c r="H83" s="56"/>
    </row>
    <row r="84" spans="2:8" ht="14.25" x14ac:dyDescent="0.25">
      <c r="B84" s="56"/>
      <c r="C84" s="56"/>
      <c r="D84" s="56"/>
      <c r="E84" s="56"/>
      <c r="F84" s="56"/>
      <c r="G84" s="56"/>
      <c r="H84" s="56"/>
    </row>
    <row r="85" spans="2:8" ht="14.25" x14ac:dyDescent="0.25">
      <c r="B85" s="56"/>
      <c r="C85" s="56"/>
      <c r="D85" s="56"/>
      <c r="E85" s="56"/>
      <c r="F85" s="56"/>
      <c r="G85" s="56"/>
      <c r="H85" s="56"/>
    </row>
    <row r="86" spans="2:8" ht="14.25" x14ac:dyDescent="0.25">
      <c r="B86" s="56"/>
      <c r="C86" s="56"/>
      <c r="D86" s="56"/>
      <c r="E86" s="56"/>
      <c r="F86" s="56"/>
      <c r="G86" s="56"/>
      <c r="H86" s="56"/>
    </row>
    <row r="87" spans="2:8" ht="14.25" x14ac:dyDescent="0.25">
      <c r="B87" s="56"/>
      <c r="C87" s="56"/>
      <c r="D87" s="56"/>
      <c r="E87" s="56"/>
      <c r="F87" s="56"/>
      <c r="G87" s="56"/>
      <c r="H87" s="56"/>
    </row>
    <row r="88" spans="2:8" ht="14.25" x14ac:dyDescent="0.25">
      <c r="B88" s="56"/>
      <c r="C88" s="56"/>
      <c r="D88" s="56"/>
      <c r="E88" s="56"/>
      <c r="F88" s="56"/>
      <c r="G88" s="56"/>
      <c r="H88" s="56"/>
    </row>
    <row r="89" spans="2:8" ht="14.25" x14ac:dyDescent="0.25">
      <c r="B89" s="56"/>
      <c r="C89" s="56"/>
      <c r="D89" s="56"/>
      <c r="E89" s="56"/>
      <c r="F89" s="56"/>
      <c r="G89" s="56"/>
      <c r="H89" s="56"/>
    </row>
    <row r="90" spans="2:8" ht="14.25" x14ac:dyDescent="0.25">
      <c r="B90" s="56"/>
      <c r="C90" s="56"/>
      <c r="D90" s="56"/>
      <c r="E90" s="56"/>
      <c r="F90" s="56"/>
      <c r="G90" s="56"/>
      <c r="H90" s="56"/>
    </row>
    <row r="91" spans="2:8" ht="14.25" x14ac:dyDescent="0.25">
      <c r="B91" s="56"/>
      <c r="C91" s="56"/>
      <c r="D91" s="56"/>
      <c r="E91" s="56"/>
      <c r="F91" s="56"/>
      <c r="G91" s="56"/>
      <c r="H91" s="56"/>
    </row>
    <row r="92" spans="2:8" ht="14.25" x14ac:dyDescent="0.25">
      <c r="B92" s="56"/>
      <c r="C92" s="56"/>
      <c r="D92" s="56"/>
      <c r="E92" s="56"/>
      <c r="F92" s="56"/>
      <c r="G92" s="56"/>
      <c r="H92" s="56"/>
    </row>
    <row r="93" spans="2:8" ht="14.25" x14ac:dyDescent="0.25">
      <c r="B93" s="56"/>
      <c r="C93" s="56"/>
      <c r="D93" s="56"/>
      <c r="E93" s="56"/>
      <c r="F93" s="56"/>
      <c r="G93" s="56"/>
      <c r="H93" s="56"/>
    </row>
    <row r="94" spans="2:8" ht="14.25" x14ac:dyDescent="0.25">
      <c r="B94" s="56"/>
      <c r="C94" s="56"/>
      <c r="D94" s="56"/>
      <c r="E94" s="56"/>
      <c r="F94" s="56"/>
      <c r="G94" s="56"/>
      <c r="H94" s="56"/>
    </row>
    <row r="95" spans="2:8" ht="14.25" x14ac:dyDescent="0.25">
      <c r="B95" s="56"/>
      <c r="C95" s="56"/>
      <c r="D95" s="56"/>
      <c r="E95" s="56"/>
      <c r="F95" s="56"/>
      <c r="G95" s="56"/>
      <c r="H95" s="56"/>
    </row>
    <row r="96" spans="2:8" ht="14.25" x14ac:dyDescent="0.25">
      <c r="B96" s="56"/>
      <c r="C96" s="56"/>
      <c r="D96" s="56"/>
      <c r="E96" s="56"/>
      <c r="F96" s="56"/>
      <c r="G96" s="56"/>
      <c r="H96" s="56"/>
    </row>
    <row r="97" spans="2:8" ht="14.25" x14ac:dyDescent="0.25">
      <c r="B97" s="56"/>
      <c r="C97" s="56"/>
      <c r="D97" s="56"/>
      <c r="E97" s="56"/>
      <c r="F97" s="56"/>
      <c r="G97" s="56"/>
      <c r="H97" s="56"/>
    </row>
    <row r="98" spans="2:8" ht="14.25" x14ac:dyDescent="0.25">
      <c r="B98" s="56"/>
      <c r="C98" s="56"/>
      <c r="D98" s="56"/>
      <c r="E98" s="56"/>
      <c r="F98" s="56"/>
      <c r="G98" s="56"/>
      <c r="H98" s="56"/>
    </row>
    <row r="99" spans="2:8" ht="14.25" x14ac:dyDescent="0.25">
      <c r="B99" s="56"/>
      <c r="C99" s="56"/>
      <c r="D99" s="56"/>
      <c r="E99" s="56"/>
      <c r="F99" s="56"/>
      <c r="G99" s="56"/>
      <c r="H99" s="56"/>
    </row>
    <row r="100" spans="2:8" ht="14.25" x14ac:dyDescent="0.25">
      <c r="B100" s="56"/>
      <c r="C100" s="56"/>
      <c r="D100" s="56"/>
      <c r="E100" s="56"/>
      <c r="F100" s="56"/>
      <c r="G100" s="56"/>
      <c r="H100" s="56"/>
    </row>
    <row r="101" spans="2:8" ht="14.25" x14ac:dyDescent="0.25">
      <c r="B101" s="56"/>
      <c r="C101" s="56"/>
      <c r="D101" s="56"/>
      <c r="E101" s="56"/>
      <c r="F101" s="56"/>
      <c r="G101" s="56"/>
      <c r="H101" s="56"/>
    </row>
    <row r="102" spans="2:8" ht="14.25" x14ac:dyDescent="0.25">
      <c r="B102" s="56"/>
      <c r="C102" s="56"/>
      <c r="D102" s="56"/>
      <c r="E102" s="56"/>
      <c r="F102" s="56"/>
      <c r="G102" s="56"/>
      <c r="H102" s="56"/>
    </row>
    <row r="103" spans="2:8" ht="14.25" x14ac:dyDescent="0.25">
      <c r="B103" s="56"/>
      <c r="C103" s="56"/>
      <c r="D103" s="56"/>
      <c r="E103" s="56"/>
      <c r="F103" s="56"/>
      <c r="G103" s="56"/>
      <c r="H103" s="56"/>
    </row>
    <row r="104" spans="2:8" ht="14.25" x14ac:dyDescent="0.25">
      <c r="B104" s="56"/>
      <c r="C104" s="56"/>
      <c r="D104" s="56"/>
      <c r="E104" s="56"/>
      <c r="F104" s="56"/>
      <c r="G104" s="56"/>
      <c r="H104" s="56"/>
    </row>
    <row r="105" spans="2:8" ht="14.25" x14ac:dyDescent="0.25">
      <c r="B105" s="56"/>
      <c r="C105" s="56"/>
      <c r="D105" s="56"/>
      <c r="E105" s="56"/>
      <c r="F105" s="56"/>
      <c r="G105" s="56"/>
      <c r="H105" s="56"/>
    </row>
    <row r="106" spans="2:8" ht="14.25" x14ac:dyDescent="0.25">
      <c r="B106" s="56"/>
      <c r="C106" s="56"/>
      <c r="D106" s="56"/>
      <c r="E106" s="56"/>
      <c r="F106" s="56"/>
      <c r="G106" s="56"/>
      <c r="H106" s="56"/>
    </row>
    <row r="107" spans="2:8" ht="14.25" x14ac:dyDescent="0.25">
      <c r="B107" s="56"/>
      <c r="C107" s="56"/>
      <c r="D107" s="56"/>
      <c r="E107" s="56"/>
      <c r="F107" s="56"/>
      <c r="G107" s="56"/>
      <c r="H107" s="56"/>
    </row>
    <row r="108" spans="2:8" ht="14.25" x14ac:dyDescent="0.25">
      <c r="B108" s="56"/>
      <c r="C108" s="56"/>
      <c r="D108" s="56"/>
      <c r="E108" s="56"/>
      <c r="F108" s="56"/>
      <c r="G108" s="56"/>
      <c r="H108" s="56"/>
    </row>
    <row r="109" spans="2:8" ht="14.25" x14ac:dyDescent="0.25">
      <c r="B109" s="56"/>
      <c r="C109" s="56"/>
      <c r="D109" s="56"/>
      <c r="E109" s="56"/>
      <c r="F109" s="56"/>
      <c r="G109" s="56"/>
      <c r="H109" s="56"/>
    </row>
    <row r="110" spans="2:8" ht="14.25" x14ac:dyDescent="0.25">
      <c r="B110" s="56"/>
      <c r="C110" s="56"/>
      <c r="D110" s="56"/>
      <c r="E110" s="56"/>
      <c r="F110" s="56"/>
      <c r="G110" s="56"/>
      <c r="H110" s="56"/>
    </row>
    <row r="111" spans="2:8" ht="14.25" x14ac:dyDescent="0.25">
      <c r="B111" s="56"/>
      <c r="C111" s="56"/>
      <c r="D111" s="56"/>
      <c r="E111" s="56"/>
      <c r="F111" s="56"/>
      <c r="G111" s="56"/>
      <c r="H111" s="56"/>
    </row>
    <row r="112" spans="2:8" ht="14.25" x14ac:dyDescent="0.25">
      <c r="B112" s="56"/>
      <c r="C112" s="56"/>
      <c r="D112" s="56"/>
      <c r="E112" s="56"/>
      <c r="F112" s="56"/>
      <c r="G112" s="56"/>
      <c r="H112" s="56"/>
    </row>
    <row r="113" spans="2:8" ht="14.25" x14ac:dyDescent="0.25">
      <c r="B113" s="56"/>
      <c r="C113" s="56"/>
      <c r="D113" s="56"/>
      <c r="E113" s="56"/>
      <c r="F113" s="56"/>
      <c r="G113" s="56"/>
      <c r="H113" s="56"/>
    </row>
    <row r="114" spans="2:8" ht="14.25" x14ac:dyDescent="0.25">
      <c r="B114" s="56"/>
      <c r="C114" s="56"/>
      <c r="D114" s="56"/>
      <c r="E114" s="56"/>
      <c r="F114" s="56"/>
      <c r="G114" s="56"/>
      <c r="H114" s="56"/>
    </row>
    <row r="115" spans="2:8" ht="14.25" x14ac:dyDescent="0.25">
      <c r="B115" s="56"/>
      <c r="C115" s="56"/>
      <c r="D115" s="56"/>
      <c r="E115" s="56"/>
      <c r="F115" s="56"/>
      <c r="G115" s="56"/>
      <c r="H115" s="56"/>
    </row>
    <row r="116" spans="2:8" ht="14.25" x14ac:dyDescent="0.25">
      <c r="B116" s="56"/>
      <c r="C116" s="56"/>
      <c r="D116" s="56"/>
      <c r="E116" s="56"/>
      <c r="F116" s="56"/>
      <c r="G116" s="56"/>
      <c r="H116" s="56"/>
    </row>
    <row r="117" spans="2:8" ht="14.25" x14ac:dyDescent="0.25">
      <c r="B117" s="56"/>
      <c r="C117" s="56"/>
      <c r="D117" s="56"/>
      <c r="E117" s="56"/>
      <c r="F117" s="56"/>
      <c r="G117" s="56"/>
      <c r="H117" s="56"/>
    </row>
    <row r="118" spans="2:8" ht="14.25" x14ac:dyDescent="0.25">
      <c r="B118" s="56"/>
      <c r="C118" s="56"/>
      <c r="D118" s="56"/>
      <c r="E118" s="56"/>
      <c r="F118" s="56"/>
      <c r="G118" s="56"/>
      <c r="H118" s="56"/>
    </row>
    <row r="119" spans="2:8" ht="14.25" x14ac:dyDescent="0.25">
      <c r="B119" s="56"/>
      <c r="C119" s="56"/>
      <c r="D119" s="56"/>
      <c r="E119" s="56"/>
      <c r="F119" s="56"/>
      <c r="G119" s="56"/>
      <c r="H119" s="56"/>
    </row>
    <row r="120" spans="2:8" ht="14.25" x14ac:dyDescent="0.25">
      <c r="B120" s="56"/>
      <c r="C120" s="56"/>
      <c r="D120" s="56"/>
      <c r="E120" s="56"/>
      <c r="F120" s="56"/>
      <c r="G120" s="56"/>
      <c r="H120" s="56"/>
    </row>
    <row r="121" spans="2:8" ht="14.25" x14ac:dyDescent="0.25">
      <c r="B121" s="56"/>
      <c r="C121" s="56"/>
      <c r="D121" s="56"/>
      <c r="E121" s="56"/>
      <c r="F121" s="56"/>
      <c r="G121" s="56"/>
      <c r="H121" s="56"/>
    </row>
    <row r="122" spans="2:8" ht="14.25" x14ac:dyDescent="0.25">
      <c r="B122" s="56"/>
      <c r="C122" s="56"/>
      <c r="D122" s="56"/>
      <c r="E122" s="56"/>
      <c r="F122" s="56"/>
      <c r="G122" s="56"/>
      <c r="H122" s="56"/>
    </row>
    <row r="123" spans="2:8" ht="14.25" x14ac:dyDescent="0.25">
      <c r="B123" s="56"/>
      <c r="C123" s="56"/>
      <c r="D123" s="56"/>
      <c r="E123" s="56"/>
      <c r="F123" s="56"/>
      <c r="G123" s="56"/>
      <c r="H123" s="56"/>
    </row>
    <row r="124" spans="2:8" ht="14.25" x14ac:dyDescent="0.25">
      <c r="B124" s="56"/>
      <c r="C124" s="56"/>
      <c r="D124" s="56"/>
      <c r="E124" s="56"/>
      <c r="F124" s="56"/>
      <c r="G124" s="56"/>
      <c r="H124" s="56"/>
    </row>
    <row r="125" spans="2:8" ht="14.25" x14ac:dyDescent="0.25">
      <c r="B125" s="56"/>
      <c r="C125" s="56"/>
      <c r="D125" s="56"/>
      <c r="E125" s="56"/>
      <c r="F125" s="56"/>
      <c r="G125" s="56"/>
      <c r="H125" s="56"/>
    </row>
    <row r="126" spans="2:8" ht="14.25" x14ac:dyDescent="0.25">
      <c r="B126" s="56"/>
      <c r="C126" s="56"/>
      <c r="D126" s="56"/>
      <c r="E126" s="56"/>
      <c r="F126" s="56"/>
      <c r="G126" s="56"/>
      <c r="H126" s="56"/>
    </row>
    <row r="127" spans="2:8" ht="14.25" x14ac:dyDescent="0.25">
      <c r="B127" s="56"/>
      <c r="C127" s="56"/>
      <c r="D127" s="56"/>
      <c r="E127" s="56"/>
      <c r="F127" s="56"/>
      <c r="G127" s="56"/>
      <c r="H127" s="56"/>
    </row>
    <row r="128" spans="2:8" ht="14.25" x14ac:dyDescent="0.25">
      <c r="B128" s="56"/>
      <c r="C128" s="56"/>
      <c r="D128" s="56"/>
      <c r="E128" s="56"/>
      <c r="F128" s="56"/>
      <c r="G128" s="56"/>
      <c r="H128" s="56"/>
    </row>
    <row r="129" spans="2:8" ht="14.25" x14ac:dyDescent="0.25">
      <c r="B129" s="56"/>
      <c r="C129" s="56"/>
      <c r="D129" s="56"/>
      <c r="E129" s="56"/>
      <c r="F129" s="56"/>
      <c r="G129" s="56"/>
      <c r="H129" s="56"/>
    </row>
    <row r="130" spans="2:8" ht="14.25" x14ac:dyDescent="0.25">
      <c r="B130" s="56"/>
      <c r="C130" s="56"/>
      <c r="D130" s="56"/>
      <c r="E130" s="56"/>
      <c r="F130" s="56"/>
      <c r="G130" s="56"/>
      <c r="H130" s="56"/>
    </row>
    <row r="131" spans="2:8" ht="14.25" x14ac:dyDescent="0.25">
      <c r="B131" s="56"/>
      <c r="C131" s="56"/>
      <c r="D131" s="56"/>
      <c r="E131" s="56"/>
      <c r="F131" s="56"/>
      <c r="G131" s="56"/>
      <c r="H131" s="56"/>
    </row>
    <row r="132" spans="2:8" ht="14.25" x14ac:dyDescent="0.25">
      <c r="B132" s="56"/>
      <c r="C132" s="56"/>
      <c r="D132" s="56"/>
      <c r="E132" s="56"/>
      <c r="F132" s="56"/>
      <c r="G132" s="56"/>
      <c r="H132" s="56"/>
    </row>
    <row r="133" spans="2:8" ht="14.25" x14ac:dyDescent="0.25">
      <c r="B133" s="56"/>
      <c r="C133" s="56"/>
      <c r="D133" s="56"/>
      <c r="E133" s="56"/>
      <c r="F133" s="56"/>
      <c r="G133" s="56"/>
      <c r="H133" s="56"/>
    </row>
    <row r="134" spans="2:8" ht="14.25" x14ac:dyDescent="0.25">
      <c r="B134" s="56"/>
      <c r="C134" s="56"/>
      <c r="D134" s="56"/>
      <c r="E134" s="56"/>
      <c r="F134" s="56"/>
      <c r="G134" s="56"/>
      <c r="H134" s="56"/>
    </row>
    <row r="135" spans="2:8" ht="14.25" x14ac:dyDescent="0.25">
      <c r="B135" s="56"/>
      <c r="C135" s="56"/>
      <c r="D135" s="56"/>
      <c r="E135" s="56"/>
      <c r="F135" s="56"/>
      <c r="G135" s="56"/>
      <c r="H135" s="56"/>
    </row>
    <row r="136" spans="2:8" ht="14.25" x14ac:dyDescent="0.25">
      <c r="B136" s="56"/>
      <c r="C136" s="56"/>
      <c r="D136" s="56"/>
      <c r="E136" s="56"/>
      <c r="F136" s="56"/>
      <c r="G136" s="56"/>
      <c r="H136" s="56"/>
    </row>
    <row r="137" spans="2:8" ht="14.25" x14ac:dyDescent="0.25">
      <c r="B137" s="56"/>
      <c r="C137" s="56"/>
      <c r="D137" s="56"/>
      <c r="E137" s="56"/>
      <c r="F137" s="56"/>
      <c r="G137" s="56"/>
      <c r="H137" s="56"/>
    </row>
    <row r="138" spans="2:8" ht="14.25" x14ac:dyDescent="0.25">
      <c r="B138" s="56"/>
      <c r="C138" s="56"/>
      <c r="D138" s="56"/>
      <c r="E138" s="56"/>
      <c r="F138" s="56"/>
      <c r="G138" s="56"/>
      <c r="H138" s="56"/>
    </row>
    <row r="139" spans="2:8" ht="14.25" x14ac:dyDescent="0.25">
      <c r="B139" s="56"/>
      <c r="C139" s="56"/>
      <c r="D139" s="56"/>
      <c r="E139" s="56"/>
      <c r="F139" s="56"/>
      <c r="G139" s="56"/>
      <c r="H139" s="56"/>
    </row>
    <row r="140" spans="2:8" ht="14.25" x14ac:dyDescent="0.25">
      <c r="B140" s="56"/>
      <c r="C140" s="56"/>
      <c r="D140" s="56"/>
      <c r="E140" s="56"/>
      <c r="F140" s="56"/>
      <c r="G140" s="56"/>
      <c r="H140" s="56"/>
    </row>
    <row r="141" spans="2:8" ht="14.25" x14ac:dyDescent="0.25">
      <c r="B141" s="56"/>
      <c r="C141" s="56"/>
      <c r="D141" s="56"/>
      <c r="E141" s="56"/>
      <c r="F141" s="56"/>
      <c r="G141" s="56"/>
      <c r="H141" s="56"/>
    </row>
    <row r="142" spans="2:8" ht="14.25" x14ac:dyDescent="0.25">
      <c r="B142" s="56"/>
      <c r="C142" s="56"/>
      <c r="D142" s="56"/>
      <c r="E142" s="56"/>
      <c r="F142" s="56"/>
      <c r="G142" s="56"/>
      <c r="H142" s="56"/>
    </row>
    <row r="143" spans="2:8" ht="14.25" x14ac:dyDescent="0.25">
      <c r="B143" s="56"/>
      <c r="C143" s="56"/>
      <c r="D143" s="56"/>
      <c r="E143" s="56"/>
      <c r="F143" s="56"/>
      <c r="G143" s="56"/>
      <c r="H143" s="56"/>
    </row>
    <row r="144" spans="2:8" ht="14.25" x14ac:dyDescent="0.25">
      <c r="B144" s="56"/>
      <c r="C144" s="56"/>
      <c r="D144" s="56"/>
      <c r="E144" s="56"/>
      <c r="F144" s="56"/>
      <c r="G144" s="56"/>
      <c r="H144" s="56"/>
    </row>
    <row r="145" spans="2:8" ht="14.25" x14ac:dyDescent="0.25">
      <c r="B145" s="56"/>
      <c r="C145" s="56"/>
      <c r="D145" s="56"/>
      <c r="E145" s="56"/>
      <c r="F145" s="56"/>
      <c r="G145" s="56"/>
      <c r="H145" s="56"/>
    </row>
    <row r="146" spans="2:8" ht="14.25" x14ac:dyDescent="0.25">
      <c r="B146" s="56"/>
      <c r="C146" s="56"/>
      <c r="D146" s="56"/>
      <c r="E146" s="56"/>
      <c r="F146" s="56"/>
      <c r="G146" s="56"/>
      <c r="H146" s="56"/>
    </row>
    <row r="147" spans="2:8" ht="14.25" x14ac:dyDescent="0.25">
      <c r="B147" s="56"/>
      <c r="C147" s="56"/>
      <c r="D147" s="56"/>
      <c r="E147" s="56"/>
      <c r="F147" s="56"/>
      <c r="G147" s="56"/>
      <c r="H147" s="56"/>
    </row>
    <row r="148" spans="2:8" ht="14.25" x14ac:dyDescent="0.25">
      <c r="B148" s="56"/>
      <c r="C148" s="56"/>
      <c r="D148" s="56"/>
      <c r="E148" s="56"/>
      <c r="F148" s="56"/>
      <c r="G148" s="56"/>
      <c r="H148" s="56"/>
    </row>
    <row r="149" spans="2:8" ht="14.25" x14ac:dyDescent="0.25">
      <c r="B149" s="56"/>
      <c r="C149" s="56"/>
      <c r="D149" s="56"/>
      <c r="E149" s="56"/>
      <c r="F149" s="56"/>
      <c r="G149" s="56"/>
      <c r="H149" s="56"/>
    </row>
    <row r="150" spans="2:8" ht="14.25" x14ac:dyDescent="0.25">
      <c r="B150" s="56"/>
      <c r="C150" s="56"/>
      <c r="D150" s="56"/>
      <c r="E150" s="56"/>
      <c r="F150" s="56"/>
      <c r="G150" s="56"/>
      <c r="H150" s="56"/>
    </row>
    <row r="151" spans="2:8" ht="14.25" x14ac:dyDescent="0.25">
      <c r="B151" s="56"/>
      <c r="C151" s="56"/>
      <c r="D151" s="56"/>
      <c r="E151" s="56"/>
      <c r="F151" s="56"/>
      <c r="G151" s="56"/>
      <c r="H151" s="56"/>
    </row>
    <row r="152" spans="2:8" ht="14.25" x14ac:dyDescent="0.25">
      <c r="B152" s="56"/>
      <c r="C152" s="56"/>
      <c r="D152" s="56"/>
      <c r="E152" s="56"/>
      <c r="F152" s="56"/>
      <c r="G152" s="56"/>
      <c r="H152" s="56"/>
    </row>
    <row r="153" spans="2:8" ht="14.25" x14ac:dyDescent="0.25">
      <c r="B153" s="56"/>
      <c r="C153" s="56"/>
      <c r="D153" s="56"/>
      <c r="E153" s="56"/>
      <c r="F153" s="56"/>
      <c r="G153" s="56"/>
      <c r="H153" s="56"/>
    </row>
    <row r="154" spans="2:8" ht="14.25" x14ac:dyDescent="0.25">
      <c r="B154" s="56"/>
      <c r="C154" s="56"/>
      <c r="D154" s="56"/>
      <c r="E154" s="56"/>
      <c r="F154" s="56"/>
      <c r="G154" s="56"/>
      <c r="H154" s="56"/>
    </row>
    <row r="155" spans="2:8" ht="14.25" x14ac:dyDescent="0.25">
      <c r="B155" s="56"/>
      <c r="C155" s="56"/>
      <c r="D155" s="56"/>
      <c r="E155" s="56"/>
      <c r="F155" s="56"/>
      <c r="G155" s="56"/>
      <c r="H155" s="56"/>
    </row>
    <row r="156" spans="2:8" ht="14.25" x14ac:dyDescent="0.25">
      <c r="B156" s="56"/>
      <c r="C156" s="56"/>
      <c r="D156" s="56"/>
      <c r="E156" s="56"/>
      <c r="F156" s="56"/>
      <c r="G156" s="56"/>
      <c r="H156" s="56"/>
    </row>
    <row r="157" spans="2:8" ht="14.25" x14ac:dyDescent="0.25">
      <c r="B157" s="56"/>
      <c r="C157" s="56"/>
      <c r="D157" s="56"/>
      <c r="E157" s="56"/>
      <c r="F157" s="56"/>
      <c r="G157" s="56"/>
      <c r="H157" s="56"/>
    </row>
    <row r="158" spans="2:8" ht="14.25" x14ac:dyDescent="0.25">
      <c r="B158" s="56"/>
      <c r="C158" s="56"/>
      <c r="D158" s="56"/>
      <c r="E158" s="56"/>
      <c r="F158" s="56"/>
      <c r="G158" s="56"/>
      <c r="H158" s="56"/>
    </row>
    <row r="159" spans="2:8" ht="14.25" x14ac:dyDescent="0.25">
      <c r="B159" s="56"/>
      <c r="C159" s="56"/>
      <c r="D159" s="56"/>
      <c r="E159" s="56"/>
      <c r="F159" s="56"/>
      <c r="G159" s="56"/>
      <c r="H159" s="56"/>
    </row>
    <row r="160" spans="2:8" ht="14.25" x14ac:dyDescent="0.25">
      <c r="B160" s="56"/>
      <c r="C160" s="56"/>
      <c r="D160" s="56"/>
      <c r="E160" s="56"/>
      <c r="F160" s="56"/>
      <c r="G160" s="56"/>
      <c r="H160" s="56"/>
    </row>
    <row r="161" spans="2:8" ht="14.25" x14ac:dyDescent="0.25">
      <c r="B161" s="56"/>
      <c r="C161" s="56"/>
      <c r="D161" s="56"/>
      <c r="E161" s="56"/>
      <c r="F161" s="56"/>
      <c r="G161" s="56"/>
      <c r="H161" s="56"/>
    </row>
    <row r="162" spans="2:8" ht="14.25" x14ac:dyDescent="0.25">
      <c r="B162" s="56"/>
      <c r="C162" s="56"/>
      <c r="D162" s="56"/>
      <c r="E162" s="56"/>
      <c r="F162" s="56"/>
      <c r="G162" s="56"/>
      <c r="H162" s="56"/>
    </row>
    <row r="163" spans="2:8" ht="14.25" x14ac:dyDescent="0.25">
      <c r="B163" s="56"/>
      <c r="C163" s="56"/>
      <c r="D163" s="56"/>
      <c r="E163" s="56"/>
      <c r="F163" s="56"/>
      <c r="G163" s="56"/>
      <c r="H163" s="56"/>
    </row>
    <row r="164" spans="2:8" ht="14.25" x14ac:dyDescent="0.25">
      <c r="B164" s="56"/>
      <c r="C164" s="56"/>
      <c r="D164" s="56"/>
      <c r="E164" s="56"/>
      <c r="F164" s="56"/>
      <c r="G164" s="56"/>
      <c r="H164" s="56"/>
    </row>
    <row r="165" spans="2:8" ht="14.25" x14ac:dyDescent="0.25">
      <c r="B165" s="56"/>
      <c r="C165" s="56"/>
      <c r="D165" s="56"/>
      <c r="E165" s="56"/>
      <c r="F165" s="56"/>
      <c r="G165" s="56"/>
      <c r="H165" s="56"/>
    </row>
    <row r="166" spans="2:8" ht="14.25" x14ac:dyDescent="0.25">
      <c r="B166" s="56"/>
      <c r="C166" s="56"/>
      <c r="D166" s="56"/>
      <c r="E166" s="56"/>
      <c r="F166" s="56"/>
      <c r="G166" s="56"/>
      <c r="H166" s="56"/>
    </row>
    <row r="167" spans="2:8" ht="14.25" x14ac:dyDescent="0.25">
      <c r="B167" s="56"/>
      <c r="C167" s="56"/>
      <c r="D167" s="56"/>
      <c r="E167" s="56"/>
      <c r="F167" s="56"/>
      <c r="G167" s="56"/>
      <c r="H167" s="56"/>
    </row>
    <row r="168" spans="2:8" ht="14.25" x14ac:dyDescent="0.25">
      <c r="B168" s="56"/>
      <c r="C168" s="56"/>
      <c r="D168" s="56"/>
      <c r="E168" s="56"/>
      <c r="F168" s="56"/>
      <c r="G168" s="56"/>
      <c r="H168" s="56"/>
    </row>
    <row r="169" spans="2:8" ht="14.25" x14ac:dyDescent="0.25">
      <c r="B169" s="56"/>
      <c r="C169" s="56"/>
      <c r="D169" s="56"/>
      <c r="E169" s="56"/>
      <c r="F169" s="56"/>
      <c r="G169" s="56"/>
      <c r="H169" s="56"/>
    </row>
    <row r="170" spans="2:8" ht="14.25" x14ac:dyDescent="0.25">
      <c r="B170" s="56"/>
      <c r="C170" s="56"/>
      <c r="D170" s="56"/>
      <c r="E170" s="56"/>
      <c r="F170" s="56"/>
      <c r="G170" s="56"/>
      <c r="H170" s="56"/>
    </row>
    <row r="171" spans="2:8" ht="14.25" x14ac:dyDescent="0.25">
      <c r="B171" s="56"/>
      <c r="C171" s="56"/>
      <c r="D171" s="56"/>
      <c r="E171" s="56"/>
      <c r="F171" s="56"/>
      <c r="G171" s="56"/>
      <c r="H171" s="56"/>
    </row>
    <row r="172" spans="2:8" ht="14.25" x14ac:dyDescent="0.25">
      <c r="B172" s="56"/>
      <c r="C172" s="56"/>
      <c r="D172" s="56"/>
      <c r="E172" s="56"/>
      <c r="F172" s="56"/>
      <c r="G172" s="56"/>
      <c r="H172" s="56"/>
    </row>
    <row r="173" spans="2:8" ht="14.25" x14ac:dyDescent="0.25">
      <c r="B173" s="56"/>
      <c r="C173" s="56"/>
      <c r="D173" s="56"/>
      <c r="E173" s="56"/>
      <c r="F173" s="56"/>
      <c r="G173" s="56"/>
      <c r="H173" s="56"/>
    </row>
    <row r="174" spans="2:8" ht="14.25" x14ac:dyDescent="0.25">
      <c r="B174" s="56"/>
      <c r="C174" s="56"/>
      <c r="D174" s="56"/>
      <c r="E174" s="56"/>
      <c r="F174" s="56"/>
      <c r="G174" s="56"/>
      <c r="H174" s="56"/>
    </row>
    <row r="175" spans="2:8" ht="14.25" x14ac:dyDescent="0.25">
      <c r="B175" s="56"/>
      <c r="C175" s="56"/>
      <c r="D175" s="56"/>
      <c r="E175" s="56"/>
      <c r="F175" s="56"/>
      <c r="G175" s="56"/>
      <c r="H175" s="56"/>
    </row>
    <row r="176" spans="2:8" ht="14.25" x14ac:dyDescent="0.25">
      <c r="B176" s="56"/>
      <c r="C176" s="56"/>
      <c r="D176" s="56"/>
      <c r="E176" s="56"/>
      <c r="F176" s="56"/>
      <c r="G176" s="56"/>
      <c r="H176" s="56"/>
    </row>
    <row r="177" spans="2:8" ht="14.25" x14ac:dyDescent="0.25">
      <c r="B177" s="56"/>
      <c r="C177" s="56"/>
      <c r="D177" s="56"/>
      <c r="E177" s="56"/>
      <c r="F177" s="56"/>
      <c r="G177" s="56"/>
      <c r="H177" s="56"/>
    </row>
    <row r="178" spans="2:8" ht="14.25" x14ac:dyDescent="0.25">
      <c r="B178" s="56"/>
      <c r="C178" s="56"/>
      <c r="D178" s="56"/>
      <c r="E178" s="56"/>
      <c r="F178" s="56"/>
      <c r="G178" s="56"/>
      <c r="H178" s="56"/>
    </row>
    <row r="179" spans="2:8" ht="14.25" x14ac:dyDescent="0.25">
      <c r="B179" s="56"/>
      <c r="C179" s="56"/>
      <c r="D179" s="56"/>
      <c r="E179" s="56"/>
      <c r="F179" s="56"/>
      <c r="G179" s="56"/>
      <c r="H179" s="56"/>
    </row>
    <row r="180" spans="2:8" ht="14.25" x14ac:dyDescent="0.25">
      <c r="B180" s="56"/>
      <c r="C180" s="56"/>
      <c r="D180" s="56"/>
      <c r="E180" s="56"/>
      <c r="F180" s="56"/>
      <c r="G180" s="56"/>
      <c r="H180" s="56"/>
    </row>
    <row r="181" spans="2:8" ht="14.25" x14ac:dyDescent="0.25">
      <c r="B181" s="56"/>
      <c r="C181" s="56"/>
      <c r="D181" s="56"/>
      <c r="E181" s="56"/>
      <c r="F181" s="56"/>
      <c r="G181" s="56"/>
      <c r="H181" s="56"/>
    </row>
    <row r="182" spans="2:8" ht="14.25" x14ac:dyDescent="0.25">
      <c r="B182" s="56"/>
      <c r="C182" s="56"/>
      <c r="D182" s="56"/>
      <c r="E182" s="56"/>
      <c r="F182" s="56"/>
      <c r="G182" s="56"/>
      <c r="H182" s="56"/>
    </row>
    <row r="183" spans="2:8" ht="14.25" x14ac:dyDescent="0.25">
      <c r="B183" s="56"/>
      <c r="C183" s="56"/>
      <c r="D183" s="56"/>
      <c r="E183" s="56"/>
      <c r="F183" s="56"/>
      <c r="G183" s="56"/>
      <c r="H183" s="56"/>
    </row>
    <row r="184" spans="2:8" ht="14.25" x14ac:dyDescent="0.25">
      <c r="B184" s="56"/>
      <c r="C184" s="56"/>
      <c r="D184" s="56"/>
      <c r="E184" s="56"/>
      <c r="F184" s="56"/>
      <c r="G184" s="56"/>
      <c r="H184" s="56"/>
    </row>
    <row r="185" spans="2:8" ht="14.25" x14ac:dyDescent="0.25">
      <c r="B185" s="56"/>
      <c r="C185" s="56"/>
      <c r="D185" s="56"/>
      <c r="E185" s="56"/>
      <c r="F185" s="56"/>
      <c r="G185" s="56"/>
      <c r="H185" s="56"/>
    </row>
    <row r="186" spans="2:8" ht="14.25" x14ac:dyDescent="0.25">
      <c r="B186" s="56"/>
      <c r="C186" s="56"/>
      <c r="D186" s="56"/>
      <c r="E186" s="56"/>
      <c r="F186" s="56"/>
      <c r="G186" s="56"/>
      <c r="H186" s="56"/>
    </row>
    <row r="187" spans="2:8" ht="14.25" x14ac:dyDescent="0.25">
      <c r="B187" s="56"/>
      <c r="C187" s="56"/>
      <c r="D187" s="56"/>
      <c r="E187" s="56"/>
      <c r="F187" s="56"/>
      <c r="G187" s="56"/>
      <c r="H187" s="56"/>
    </row>
    <row r="188" spans="2:8" ht="14.25" x14ac:dyDescent="0.25">
      <c r="B188" s="56"/>
      <c r="C188" s="56"/>
      <c r="D188" s="56"/>
      <c r="E188" s="56"/>
      <c r="F188" s="56"/>
      <c r="G188" s="56"/>
      <c r="H188" s="56"/>
    </row>
    <row r="189" spans="2:8" ht="14.25" x14ac:dyDescent="0.25">
      <c r="B189" s="56"/>
      <c r="C189" s="56"/>
      <c r="D189" s="56"/>
      <c r="E189" s="56"/>
      <c r="F189" s="56"/>
      <c r="G189" s="56"/>
      <c r="H189" s="56"/>
    </row>
    <row r="190" spans="2:8" ht="14.25" x14ac:dyDescent="0.25">
      <c r="B190" s="56"/>
      <c r="C190" s="56"/>
      <c r="D190" s="56"/>
      <c r="E190" s="56"/>
      <c r="F190" s="56"/>
      <c r="G190" s="56"/>
      <c r="H190" s="56"/>
    </row>
    <row r="191" spans="2:8" ht="14.25" x14ac:dyDescent="0.25">
      <c r="B191" s="56"/>
      <c r="C191" s="56"/>
      <c r="D191" s="56"/>
      <c r="E191" s="56"/>
      <c r="F191" s="56"/>
      <c r="G191" s="56"/>
      <c r="H191" s="56"/>
    </row>
    <row r="192" spans="2:8" ht="14.25" x14ac:dyDescent="0.25">
      <c r="B192" s="56"/>
      <c r="C192" s="56"/>
      <c r="D192" s="56"/>
      <c r="E192" s="56"/>
      <c r="F192" s="56"/>
      <c r="G192" s="56"/>
      <c r="H192" s="56"/>
    </row>
    <row r="193" spans="2:8" ht="14.25" x14ac:dyDescent="0.25">
      <c r="B193" s="56"/>
      <c r="C193" s="56"/>
      <c r="D193" s="56"/>
      <c r="E193" s="56"/>
      <c r="F193" s="56"/>
      <c r="G193" s="56"/>
      <c r="H193" s="56"/>
    </row>
    <row r="194" spans="2:8" ht="14.25" x14ac:dyDescent="0.25">
      <c r="B194" s="56"/>
      <c r="C194" s="56"/>
      <c r="D194" s="56"/>
      <c r="E194" s="56"/>
      <c r="F194" s="56"/>
      <c r="G194" s="56"/>
      <c r="H194" s="56"/>
    </row>
    <row r="195" spans="2:8" ht="14.25" x14ac:dyDescent="0.25">
      <c r="B195" s="56"/>
      <c r="C195" s="56"/>
      <c r="D195" s="56"/>
      <c r="E195" s="56"/>
      <c r="F195" s="56"/>
      <c r="G195" s="56"/>
      <c r="H195" s="56"/>
    </row>
    <row r="196" spans="2:8" ht="14.25" x14ac:dyDescent="0.25">
      <c r="B196" s="56"/>
      <c r="C196" s="56"/>
      <c r="D196" s="56"/>
      <c r="E196" s="56"/>
      <c r="F196" s="56"/>
      <c r="G196" s="56"/>
      <c r="H196" s="56"/>
    </row>
    <row r="197" spans="2:8" ht="14.25" x14ac:dyDescent="0.25">
      <c r="B197" s="56"/>
      <c r="C197" s="56"/>
      <c r="D197" s="56"/>
      <c r="E197" s="56"/>
      <c r="F197" s="56"/>
      <c r="G197" s="56"/>
      <c r="H197" s="56"/>
    </row>
    <row r="198" spans="2:8" ht="14.25" x14ac:dyDescent="0.25">
      <c r="B198" s="56"/>
      <c r="C198" s="56"/>
      <c r="D198" s="56"/>
      <c r="E198" s="56"/>
      <c r="F198" s="56"/>
      <c r="G198" s="56"/>
      <c r="H198" s="56"/>
    </row>
    <row r="199" spans="2:8" ht="14.25" x14ac:dyDescent="0.25">
      <c r="B199" s="56"/>
      <c r="C199" s="56"/>
      <c r="D199" s="56"/>
      <c r="E199" s="56"/>
      <c r="F199" s="56"/>
      <c r="G199" s="56"/>
      <c r="H199" s="56"/>
    </row>
    <row r="200" spans="2:8" ht="14.25" x14ac:dyDescent="0.25">
      <c r="B200" s="56"/>
      <c r="C200" s="56"/>
      <c r="D200" s="56"/>
      <c r="E200" s="56"/>
      <c r="F200" s="56"/>
      <c r="G200" s="56"/>
      <c r="H200" s="56"/>
    </row>
    <row r="201" spans="2:8" ht="14.25" x14ac:dyDescent="0.25">
      <c r="B201" s="56"/>
      <c r="C201" s="56"/>
      <c r="D201" s="56"/>
      <c r="E201" s="56"/>
      <c r="F201" s="56"/>
      <c r="G201" s="56"/>
      <c r="H201" s="56"/>
    </row>
    <row r="202" spans="2:8" ht="14.25" x14ac:dyDescent="0.25">
      <c r="B202" s="56"/>
      <c r="C202" s="56"/>
      <c r="D202" s="56"/>
      <c r="E202" s="56"/>
      <c r="F202" s="56"/>
      <c r="G202" s="56"/>
      <c r="H202" s="56"/>
    </row>
    <row r="203" spans="2:8" ht="14.25" x14ac:dyDescent="0.25">
      <c r="B203" s="56"/>
      <c r="C203" s="56"/>
      <c r="D203" s="56"/>
      <c r="E203" s="56"/>
      <c r="F203" s="56"/>
      <c r="G203" s="56"/>
      <c r="H203" s="56"/>
    </row>
    <row r="204" spans="2:8" ht="14.25" x14ac:dyDescent="0.25">
      <c r="B204" s="56"/>
      <c r="C204" s="56"/>
      <c r="D204" s="56"/>
      <c r="E204" s="56"/>
      <c r="F204" s="56"/>
      <c r="G204" s="56"/>
      <c r="H204" s="56"/>
    </row>
    <row r="205" spans="2:8" ht="14.25" x14ac:dyDescent="0.25">
      <c r="B205" s="56"/>
      <c r="C205" s="56"/>
      <c r="D205" s="56"/>
      <c r="E205" s="56"/>
      <c r="F205" s="56"/>
      <c r="G205" s="56"/>
      <c r="H205" s="56"/>
    </row>
    <row r="206" spans="2:8" ht="14.25" x14ac:dyDescent="0.25">
      <c r="B206" s="56"/>
      <c r="C206" s="56"/>
      <c r="D206" s="56"/>
      <c r="E206" s="56"/>
      <c r="F206" s="56"/>
      <c r="G206" s="56"/>
      <c r="H206" s="56"/>
    </row>
    <row r="207" spans="2:8" ht="14.25" x14ac:dyDescent="0.25">
      <c r="B207" s="56"/>
      <c r="C207" s="56"/>
      <c r="D207" s="56"/>
      <c r="E207" s="56"/>
      <c r="F207" s="56"/>
      <c r="G207" s="56"/>
      <c r="H207" s="56"/>
    </row>
    <row r="208" spans="2:8" ht="14.25" x14ac:dyDescent="0.25">
      <c r="B208" s="56"/>
      <c r="C208" s="56"/>
      <c r="D208" s="56"/>
      <c r="E208" s="56"/>
      <c r="F208" s="56"/>
      <c r="G208" s="56"/>
      <c r="H208" s="56"/>
    </row>
    <row r="209" spans="2:8" ht="14.25" x14ac:dyDescent="0.25">
      <c r="B209" s="56"/>
      <c r="C209" s="56"/>
      <c r="D209" s="56"/>
      <c r="E209" s="56"/>
      <c r="F209" s="56"/>
      <c r="G209" s="56"/>
      <c r="H209" s="56"/>
    </row>
    <row r="210" spans="2:8" ht="14.25" x14ac:dyDescent="0.25">
      <c r="B210" s="56"/>
      <c r="C210" s="56"/>
      <c r="D210" s="56"/>
      <c r="E210" s="56"/>
      <c r="F210" s="56"/>
      <c r="G210" s="56"/>
      <c r="H210" s="56"/>
    </row>
    <row r="211" spans="2:8" ht="14.25" x14ac:dyDescent="0.25">
      <c r="B211" s="56"/>
      <c r="C211" s="56"/>
      <c r="D211" s="56"/>
      <c r="E211" s="56"/>
      <c r="F211" s="56"/>
      <c r="G211" s="56"/>
      <c r="H211" s="56"/>
    </row>
    <row r="212" spans="2:8" ht="14.25" x14ac:dyDescent="0.25">
      <c r="B212" s="56"/>
      <c r="C212" s="56"/>
      <c r="D212" s="56"/>
      <c r="E212" s="56"/>
      <c r="F212" s="56"/>
      <c r="G212" s="56"/>
      <c r="H212" s="56"/>
    </row>
    <row r="213" spans="2:8" ht="14.25" x14ac:dyDescent="0.25">
      <c r="B213" s="56"/>
      <c r="C213" s="56"/>
      <c r="D213" s="56"/>
      <c r="E213" s="56"/>
      <c r="F213" s="56"/>
      <c r="G213" s="56"/>
      <c r="H213" s="56"/>
    </row>
    <row r="214" spans="2:8" ht="14.25" x14ac:dyDescent="0.25">
      <c r="B214" s="56"/>
      <c r="C214" s="56"/>
      <c r="D214" s="56"/>
      <c r="E214" s="56"/>
      <c r="F214" s="56"/>
      <c r="G214" s="56"/>
      <c r="H214" s="56"/>
    </row>
    <row r="215" spans="2:8" ht="14.25" x14ac:dyDescent="0.25">
      <c r="B215" s="56"/>
      <c r="C215" s="56"/>
      <c r="D215" s="56"/>
      <c r="E215" s="56"/>
      <c r="F215" s="56"/>
      <c r="G215" s="56"/>
      <c r="H215" s="56"/>
    </row>
    <row r="216" spans="2:8" ht="14.25" x14ac:dyDescent="0.25">
      <c r="B216" s="56"/>
      <c r="C216" s="56"/>
      <c r="D216" s="56"/>
      <c r="E216" s="56"/>
      <c r="F216" s="56"/>
      <c r="G216" s="56"/>
      <c r="H216" s="56"/>
    </row>
    <row r="217" spans="2:8" ht="14.25" x14ac:dyDescent="0.25">
      <c r="B217" s="56"/>
      <c r="C217" s="56"/>
      <c r="D217" s="56"/>
      <c r="E217" s="56"/>
      <c r="F217" s="56"/>
      <c r="G217" s="56"/>
      <c r="H217" s="56"/>
    </row>
    <row r="218" spans="2:8" ht="14.25" x14ac:dyDescent="0.25">
      <c r="B218" s="56"/>
      <c r="C218" s="56"/>
      <c r="D218" s="56"/>
      <c r="E218" s="56"/>
      <c r="F218" s="56"/>
      <c r="G218" s="56"/>
      <c r="H218" s="56"/>
    </row>
    <row r="219" spans="2:8" ht="14.25" x14ac:dyDescent="0.25">
      <c r="B219" s="56"/>
      <c r="C219" s="56"/>
      <c r="D219" s="56"/>
      <c r="E219" s="56"/>
      <c r="F219" s="56"/>
      <c r="G219" s="56"/>
      <c r="H219" s="56"/>
    </row>
    <row r="220" spans="2:8" ht="14.25" x14ac:dyDescent="0.25">
      <c r="B220" s="56"/>
      <c r="C220" s="56"/>
      <c r="D220" s="56"/>
      <c r="E220" s="56"/>
      <c r="F220" s="56"/>
      <c r="G220" s="56"/>
      <c r="H220" s="56"/>
    </row>
    <row r="221" spans="2:8" ht="14.25" x14ac:dyDescent="0.25">
      <c r="B221" s="56"/>
      <c r="C221" s="56"/>
      <c r="D221" s="56"/>
      <c r="E221" s="56"/>
      <c r="F221" s="56"/>
      <c r="G221" s="56"/>
      <c r="H221" s="56"/>
    </row>
    <row r="222" spans="2:8" ht="14.25" x14ac:dyDescent="0.25">
      <c r="B222" s="56"/>
      <c r="C222" s="56"/>
      <c r="D222" s="56"/>
      <c r="E222" s="56"/>
      <c r="F222" s="56"/>
      <c r="G222" s="56"/>
      <c r="H222" s="56"/>
    </row>
    <row r="223" spans="2:8" ht="14.25" x14ac:dyDescent="0.25">
      <c r="B223" s="56"/>
      <c r="C223" s="56"/>
      <c r="D223" s="56"/>
      <c r="E223" s="56"/>
      <c r="F223" s="56"/>
      <c r="G223" s="56"/>
      <c r="H223" s="56"/>
    </row>
    <row r="224" spans="2:8" ht="14.25" x14ac:dyDescent="0.25">
      <c r="B224" s="56"/>
      <c r="C224" s="56"/>
      <c r="D224" s="56"/>
      <c r="E224" s="56"/>
      <c r="F224" s="56"/>
      <c r="G224" s="56"/>
      <c r="H224" s="56"/>
    </row>
    <row r="225" spans="2:8" ht="14.25" x14ac:dyDescent="0.25">
      <c r="B225" s="56"/>
      <c r="C225" s="56"/>
      <c r="D225" s="56"/>
      <c r="E225" s="56"/>
      <c r="F225" s="56"/>
      <c r="G225" s="56"/>
      <c r="H225" s="56"/>
    </row>
    <row r="226" spans="2:8" ht="14.25" x14ac:dyDescent="0.25">
      <c r="B226" s="56"/>
      <c r="C226" s="56"/>
      <c r="D226" s="56"/>
      <c r="E226" s="56"/>
      <c r="F226" s="56"/>
      <c r="G226" s="56"/>
      <c r="H226" s="56"/>
    </row>
    <row r="227" spans="2:8" ht="14.25" x14ac:dyDescent="0.25">
      <c r="B227" s="56"/>
      <c r="C227" s="56"/>
      <c r="D227" s="56"/>
      <c r="E227" s="56"/>
      <c r="F227" s="56"/>
      <c r="G227" s="56"/>
      <c r="H227" s="56"/>
    </row>
    <row r="228" spans="2:8" ht="14.25" x14ac:dyDescent="0.25">
      <c r="B228" s="56"/>
      <c r="C228" s="56"/>
      <c r="D228" s="56"/>
      <c r="E228" s="56"/>
      <c r="F228" s="56"/>
      <c r="G228" s="56"/>
      <c r="H228" s="56"/>
    </row>
    <row r="229" spans="2:8" ht="14.25" x14ac:dyDescent="0.25">
      <c r="B229" s="56"/>
      <c r="C229" s="56"/>
      <c r="D229" s="56"/>
      <c r="E229" s="56"/>
      <c r="F229" s="56"/>
      <c r="G229" s="56"/>
      <c r="H229" s="56"/>
    </row>
    <row r="230" spans="2:8" ht="14.25" x14ac:dyDescent="0.25">
      <c r="B230" s="56"/>
      <c r="C230" s="56"/>
      <c r="D230" s="56"/>
      <c r="E230" s="56"/>
      <c r="F230" s="56"/>
      <c r="G230" s="56"/>
      <c r="H230" s="56"/>
    </row>
    <row r="231" spans="2:8" ht="14.25" x14ac:dyDescent="0.25">
      <c r="B231" s="56"/>
      <c r="C231" s="56"/>
      <c r="D231" s="56"/>
      <c r="E231" s="56"/>
      <c r="F231" s="56"/>
      <c r="G231" s="56"/>
      <c r="H231" s="56"/>
    </row>
    <row r="232" spans="2:8" ht="14.25" x14ac:dyDescent="0.25">
      <c r="B232" s="56"/>
      <c r="C232" s="56"/>
      <c r="D232" s="56"/>
      <c r="E232" s="56"/>
      <c r="F232" s="56"/>
      <c r="G232" s="56"/>
      <c r="H232" s="56"/>
    </row>
    <row r="233" spans="2:8" ht="14.25" x14ac:dyDescent="0.25">
      <c r="B233" s="56"/>
      <c r="C233" s="56"/>
      <c r="D233" s="56"/>
      <c r="E233" s="56"/>
      <c r="F233" s="56"/>
      <c r="G233" s="56"/>
      <c r="H233" s="56"/>
    </row>
    <row r="234" spans="2:8" ht="14.25" x14ac:dyDescent="0.25">
      <c r="B234" s="56"/>
      <c r="C234" s="56"/>
      <c r="D234" s="56"/>
      <c r="E234" s="56"/>
      <c r="F234" s="56"/>
      <c r="G234" s="56"/>
      <c r="H234" s="56"/>
    </row>
    <row r="235" spans="2:8" ht="14.25" x14ac:dyDescent="0.25">
      <c r="B235" s="56"/>
      <c r="C235" s="56"/>
      <c r="D235" s="56"/>
      <c r="E235" s="56"/>
      <c r="F235" s="56"/>
      <c r="G235" s="56"/>
      <c r="H235" s="56"/>
    </row>
    <row r="236" spans="2:8" ht="14.25" x14ac:dyDescent="0.25">
      <c r="B236" s="56"/>
      <c r="C236" s="56"/>
      <c r="D236" s="56"/>
      <c r="E236" s="56"/>
      <c r="F236" s="56"/>
      <c r="G236" s="56"/>
      <c r="H236" s="56"/>
    </row>
    <row r="237" spans="2:8" ht="14.25" x14ac:dyDescent="0.25">
      <c r="B237" s="56"/>
      <c r="C237" s="56"/>
      <c r="D237" s="56"/>
      <c r="E237" s="56"/>
      <c r="F237" s="56"/>
      <c r="G237" s="56"/>
      <c r="H237" s="56"/>
    </row>
    <row r="238" spans="2:8" ht="14.25" x14ac:dyDescent="0.25">
      <c r="B238" s="56"/>
      <c r="C238" s="56"/>
      <c r="D238" s="56"/>
      <c r="E238" s="56"/>
      <c r="F238" s="56"/>
      <c r="G238" s="56"/>
      <c r="H238" s="56"/>
    </row>
    <row r="239" spans="2:8" ht="14.25" x14ac:dyDescent="0.25">
      <c r="B239" s="56"/>
      <c r="C239" s="56"/>
      <c r="D239" s="56"/>
      <c r="E239" s="56"/>
      <c r="F239" s="56"/>
      <c r="G239" s="56"/>
      <c r="H239" s="56"/>
    </row>
    <row r="240" spans="2:8" ht="14.25" x14ac:dyDescent="0.25">
      <c r="B240" s="56"/>
      <c r="C240" s="56"/>
      <c r="D240" s="56"/>
      <c r="E240" s="56"/>
      <c r="F240" s="56"/>
      <c r="G240" s="56"/>
      <c r="H240" s="56"/>
    </row>
    <row r="241" spans="2:8" ht="14.25" x14ac:dyDescent="0.25">
      <c r="B241" s="56"/>
      <c r="C241" s="56"/>
      <c r="D241" s="56"/>
      <c r="E241" s="56"/>
      <c r="F241" s="56"/>
      <c r="G241" s="56"/>
      <c r="H241" s="56"/>
    </row>
    <row r="242" spans="2:8" ht="14.25" x14ac:dyDescent="0.25">
      <c r="B242" s="56"/>
      <c r="C242" s="56"/>
      <c r="D242" s="56"/>
      <c r="E242" s="56"/>
      <c r="F242" s="56"/>
      <c r="G242" s="56"/>
      <c r="H242" s="56"/>
    </row>
    <row r="243" spans="2:8" ht="14.25" x14ac:dyDescent="0.25">
      <c r="B243" s="56"/>
      <c r="C243" s="56"/>
      <c r="D243" s="56"/>
      <c r="E243" s="56"/>
      <c r="F243" s="56"/>
      <c r="G243" s="56"/>
      <c r="H243" s="56"/>
    </row>
    <row r="244" spans="2:8" ht="14.25" x14ac:dyDescent="0.25">
      <c r="B244" s="56"/>
      <c r="C244" s="56"/>
      <c r="D244" s="56"/>
      <c r="E244" s="56"/>
      <c r="F244" s="56"/>
      <c r="G244" s="56"/>
      <c r="H244" s="56"/>
    </row>
    <row r="245" spans="2:8" ht="14.25" x14ac:dyDescent="0.25">
      <c r="B245" s="56"/>
      <c r="C245" s="56"/>
      <c r="D245" s="56"/>
      <c r="E245" s="56"/>
      <c r="F245" s="56"/>
      <c r="G245" s="56"/>
      <c r="H245" s="56"/>
    </row>
    <row r="246" spans="2:8" ht="14.25" x14ac:dyDescent="0.25">
      <c r="B246" s="56"/>
      <c r="C246" s="56"/>
      <c r="D246" s="56"/>
      <c r="E246" s="56"/>
      <c r="F246" s="56"/>
      <c r="G246" s="56"/>
      <c r="H246" s="56"/>
    </row>
    <row r="247" spans="2:8" ht="14.25" x14ac:dyDescent="0.25">
      <c r="B247" s="56"/>
      <c r="C247" s="56"/>
      <c r="D247" s="56"/>
      <c r="E247" s="56"/>
      <c r="F247" s="56"/>
      <c r="G247" s="56"/>
      <c r="H247" s="56"/>
    </row>
    <row r="248" spans="2:8" ht="14.25" x14ac:dyDescent="0.25">
      <c r="B248" s="56"/>
      <c r="C248" s="56"/>
      <c r="D248" s="56"/>
      <c r="E248" s="56"/>
      <c r="F248" s="56"/>
      <c r="G248" s="56"/>
      <c r="H248" s="56"/>
    </row>
    <row r="249" spans="2:8" ht="14.25" x14ac:dyDescent="0.25">
      <c r="B249" s="56"/>
      <c r="C249" s="56"/>
      <c r="D249" s="56"/>
      <c r="E249" s="56"/>
      <c r="F249" s="56"/>
      <c r="G249" s="56"/>
      <c r="H249" s="56"/>
    </row>
    <row r="250" spans="2:8" ht="14.25" x14ac:dyDescent="0.25">
      <c r="B250" s="56"/>
      <c r="C250" s="56"/>
      <c r="D250" s="56"/>
      <c r="E250" s="56"/>
      <c r="F250" s="56"/>
      <c r="G250" s="56"/>
      <c r="H250" s="56"/>
    </row>
    <row r="251" spans="2:8" ht="14.25" x14ac:dyDescent="0.25">
      <c r="B251" s="56"/>
      <c r="C251" s="56"/>
      <c r="D251" s="56"/>
      <c r="E251" s="56"/>
      <c r="F251" s="56"/>
      <c r="G251" s="56"/>
      <c r="H251" s="56"/>
    </row>
    <row r="252" spans="2:8" ht="14.25" x14ac:dyDescent="0.25">
      <c r="B252" s="56"/>
      <c r="C252" s="56"/>
      <c r="D252" s="56"/>
      <c r="E252" s="56"/>
      <c r="F252" s="56"/>
      <c r="G252" s="56"/>
      <c r="H252" s="56"/>
    </row>
    <row r="253" spans="2:8" ht="14.25" x14ac:dyDescent="0.25">
      <c r="B253" s="56"/>
      <c r="C253" s="56"/>
      <c r="D253" s="56"/>
      <c r="E253" s="56"/>
      <c r="F253" s="56"/>
      <c r="G253" s="56"/>
      <c r="H253" s="56"/>
    </row>
    <row r="254" spans="2:8" ht="14.25" x14ac:dyDescent="0.25">
      <c r="B254" s="56"/>
      <c r="C254" s="56"/>
      <c r="D254" s="56"/>
      <c r="E254" s="56"/>
      <c r="F254" s="56"/>
      <c r="G254" s="56"/>
      <c r="H254" s="56"/>
    </row>
    <row r="255" spans="2:8" ht="14.25" x14ac:dyDescent="0.25">
      <c r="B255" s="56"/>
      <c r="C255" s="56"/>
      <c r="D255" s="56"/>
      <c r="E255" s="56"/>
      <c r="F255" s="56"/>
      <c r="G255" s="56"/>
      <c r="H255" s="56"/>
    </row>
    <row r="256" spans="2:8" ht="14.25" x14ac:dyDescent="0.25">
      <c r="B256" s="56"/>
      <c r="C256" s="56"/>
      <c r="D256" s="56"/>
      <c r="E256" s="56"/>
      <c r="F256" s="56"/>
      <c r="G256" s="56"/>
      <c r="H256" s="56"/>
    </row>
    <row r="257" spans="2:8" ht="14.25" x14ac:dyDescent="0.25">
      <c r="B257" s="56"/>
      <c r="C257" s="56"/>
      <c r="D257" s="56"/>
      <c r="E257" s="56"/>
      <c r="F257" s="56"/>
      <c r="G257" s="56"/>
      <c r="H257" s="56"/>
    </row>
    <row r="258" spans="2:8" ht="14.25" x14ac:dyDescent="0.25">
      <c r="B258" s="56"/>
      <c r="C258" s="56"/>
      <c r="D258" s="56"/>
      <c r="E258" s="56"/>
      <c r="F258" s="56"/>
      <c r="G258" s="56"/>
      <c r="H258" s="56"/>
    </row>
    <row r="259" spans="2:8" ht="14.25" x14ac:dyDescent="0.25">
      <c r="B259" s="56"/>
      <c r="C259" s="56"/>
      <c r="D259" s="56"/>
      <c r="E259" s="56"/>
      <c r="F259" s="56"/>
      <c r="G259" s="56"/>
      <c r="H259" s="56"/>
    </row>
    <row r="260" spans="2:8" ht="14.25" x14ac:dyDescent="0.25">
      <c r="B260" s="56"/>
      <c r="C260" s="56"/>
      <c r="D260" s="56"/>
      <c r="E260" s="56"/>
      <c r="F260" s="56"/>
      <c r="G260" s="56"/>
      <c r="H260" s="56"/>
    </row>
    <row r="261" spans="2:8" ht="14.25" x14ac:dyDescent="0.25">
      <c r="B261" s="56"/>
      <c r="C261" s="56"/>
      <c r="D261" s="56"/>
      <c r="E261" s="56"/>
      <c r="F261" s="56"/>
      <c r="G261" s="56"/>
      <c r="H261" s="56"/>
    </row>
    <row r="262" spans="2:8" ht="14.25" x14ac:dyDescent="0.25">
      <c r="B262" s="56"/>
      <c r="C262" s="56"/>
      <c r="D262" s="56"/>
      <c r="E262" s="56"/>
      <c r="F262" s="56"/>
      <c r="G262" s="56"/>
      <c r="H262" s="56"/>
    </row>
    <row r="263" spans="2:8" ht="14.25" x14ac:dyDescent="0.25">
      <c r="B263" s="56"/>
      <c r="C263" s="56"/>
      <c r="D263" s="56"/>
      <c r="E263" s="56"/>
      <c r="F263" s="56"/>
      <c r="G263" s="56"/>
      <c r="H263" s="56"/>
    </row>
    <row r="264" spans="2:8" ht="14.25" x14ac:dyDescent="0.25">
      <c r="B264" s="56"/>
      <c r="C264" s="56"/>
      <c r="D264" s="56"/>
      <c r="E264" s="56"/>
      <c r="F264" s="56"/>
      <c r="G264" s="56"/>
      <c r="H264" s="56"/>
    </row>
    <row r="265" spans="2:8" ht="14.25" x14ac:dyDescent="0.25">
      <c r="B265" s="56"/>
      <c r="C265" s="56"/>
      <c r="D265" s="56"/>
      <c r="E265" s="56"/>
      <c r="F265" s="56"/>
      <c r="G265" s="56"/>
      <c r="H265" s="56"/>
    </row>
    <row r="266" spans="2:8" ht="14.25" x14ac:dyDescent="0.25">
      <c r="B266" s="56"/>
      <c r="C266" s="56"/>
      <c r="D266" s="56"/>
      <c r="E266" s="56"/>
      <c r="F266" s="56"/>
      <c r="G266" s="56"/>
      <c r="H266" s="56"/>
    </row>
    <row r="267" spans="2:8" ht="14.25" x14ac:dyDescent="0.25">
      <c r="B267" s="56"/>
      <c r="C267" s="56"/>
      <c r="D267" s="56"/>
      <c r="E267" s="56"/>
      <c r="F267" s="56"/>
      <c r="G267" s="56"/>
      <c r="H267" s="56"/>
    </row>
    <row r="268" spans="2:8" ht="14.25" x14ac:dyDescent="0.25">
      <c r="B268" s="56"/>
      <c r="C268" s="56"/>
      <c r="D268" s="56"/>
      <c r="E268" s="56"/>
      <c r="F268" s="56"/>
      <c r="G268" s="56"/>
      <c r="H268" s="56"/>
    </row>
    <row r="269" spans="2:8" ht="14.25" x14ac:dyDescent="0.25">
      <c r="B269" s="56"/>
      <c r="C269" s="56"/>
      <c r="D269" s="56"/>
      <c r="E269" s="56"/>
      <c r="F269" s="56"/>
      <c r="G269" s="56"/>
      <c r="H269" s="56"/>
    </row>
    <row r="270" spans="2:8" ht="14.25" x14ac:dyDescent="0.25">
      <c r="B270" s="56"/>
      <c r="C270" s="56"/>
      <c r="D270" s="56"/>
      <c r="E270" s="56"/>
      <c r="F270" s="56"/>
      <c r="G270" s="56"/>
      <c r="H270" s="56"/>
    </row>
    <row r="271" spans="2:8" ht="14.25" x14ac:dyDescent="0.25">
      <c r="B271" s="56"/>
      <c r="C271" s="56"/>
      <c r="D271" s="56"/>
      <c r="E271" s="56"/>
      <c r="F271" s="56"/>
      <c r="G271" s="56"/>
      <c r="H271" s="56"/>
    </row>
    <row r="272" spans="2:8" ht="14.25" x14ac:dyDescent="0.25">
      <c r="B272" s="56"/>
      <c r="C272" s="56"/>
      <c r="D272" s="56"/>
      <c r="E272" s="56"/>
      <c r="F272" s="56"/>
      <c r="G272" s="56"/>
      <c r="H272" s="56"/>
    </row>
    <row r="273" spans="2:8" ht="14.25" x14ac:dyDescent="0.25">
      <c r="B273" s="56"/>
      <c r="C273" s="56"/>
      <c r="D273" s="56"/>
      <c r="E273" s="56"/>
      <c r="F273" s="56"/>
      <c r="G273" s="56"/>
      <c r="H273" s="56"/>
    </row>
    <row r="274" spans="2:8" ht="14.25" x14ac:dyDescent="0.25">
      <c r="B274" s="56"/>
      <c r="C274" s="56"/>
      <c r="D274" s="56"/>
      <c r="E274" s="56"/>
      <c r="F274" s="56"/>
      <c r="G274" s="56"/>
      <c r="H274" s="56"/>
    </row>
    <row r="275" spans="2:8" ht="14.25" x14ac:dyDescent="0.25">
      <c r="B275" s="56"/>
      <c r="C275" s="56"/>
      <c r="D275" s="56"/>
      <c r="E275" s="56"/>
      <c r="F275" s="56"/>
      <c r="G275" s="56"/>
      <c r="H275" s="56"/>
    </row>
    <row r="276" spans="2:8" ht="14.25" x14ac:dyDescent="0.25">
      <c r="B276" s="56"/>
      <c r="C276" s="56"/>
      <c r="D276" s="56"/>
      <c r="E276" s="56"/>
      <c r="F276" s="56"/>
      <c r="G276" s="56"/>
      <c r="H276" s="56"/>
    </row>
    <row r="277" spans="2:8" ht="14.25" x14ac:dyDescent="0.25">
      <c r="B277" s="56"/>
      <c r="C277" s="56"/>
      <c r="D277" s="56"/>
      <c r="E277" s="56"/>
      <c r="F277" s="56"/>
      <c r="G277" s="56"/>
      <c r="H277" s="56"/>
    </row>
    <row r="278" spans="2:8" ht="14.25" x14ac:dyDescent="0.25">
      <c r="B278" s="56"/>
      <c r="C278" s="56"/>
      <c r="D278" s="56"/>
      <c r="E278" s="56"/>
      <c r="F278" s="56"/>
      <c r="G278" s="56"/>
      <c r="H278" s="56"/>
    </row>
    <row r="279" spans="2:8" ht="14.25" x14ac:dyDescent="0.25">
      <c r="B279" s="56"/>
      <c r="C279" s="56"/>
      <c r="D279" s="56"/>
      <c r="E279" s="56"/>
      <c r="F279" s="56"/>
      <c r="G279" s="56"/>
      <c r="H279" s="56"/>
    </row>
    <row r="280" spans="2:8" ht="14.25" x14ac:dyDescent="0.25">
      <c r="B280" s="56"/>
      <c r="C280" s="56"/>
      <c r="D280" s="56"/>
      <c r="E280" s="56"/>
      <c r="F280" s="56"/>
      <c r="G280" s="56"/>
      <c r="H280" s="56"/>
    </row>
    <row r="281" spans="2:8" ht="14.25" x14ac:dyDescent="0.25">
      <c r="B281" s="56"/>
      <c r="C281" s="56"/>
      <c r="D281" s="56"/>
      <c r="E281" s="56"/>
      <c r="F281" s="56"/>
      <c r="G281" s="56"/>
      <c r="H281" s="56"/>
    </row>
    <row r="282" spans="2:8" ht="14.25" x14ac:dyDescent="0.25">
      <c r="B282" s="56"/>
      <c r="C282" s="56"/>
      <c r="D282" s="56"/>
      <c r="E282" s="56"/>
      <c r="F282" s="56"/>
      <c r="G282" s="56"/>
      <c r="H282" s="56"/>
    </row>
    <row r="283" spans="2:8" ht="14.25" x14ac:dyDescent="0.25">
      <c r="B283" s="56"/>
      <c r="C283" s="56"/>
      <c r="D283" s="56"/>
      <c r="E283" s="56"/>
      <c r="F283" s="56"/>
      <c r="G283" s="56"/>
      <c r="H283" s="56"/>
    </row>
    <row r="284" spans="2:8" ht="14.25" x14ac:dyDescent="0.25">
      <c r="B284" s="56"/>
      <c r="C284" s="56"/>
      <c r="D284" s="56"/>
      <c r="E284" s="56"/>
      <c r="F284" s="56"/>
      <c r="G284" s="56"/>
      <c r="H284" s="56"/>
    </row>
    <row r="285" spans="2:8" ht="14.25" x14ac:dyDescent="0.25">
      <c r="B285" s="56"/>
      <c r="C285" s="56"/>
      <c r="D285" s="56"/>
      <c r="E285" s="56"/>
      <c r="F285" s="56"/>
      <c r="G285" s="56"/>
      <c r="H285" s="56"/>
    </row>
    <row r="286" spans="2:8" ht="14.25" x14ac:dyDescent="0.25">
      <c r="B286" s="56"/>
      <c r="C286" s="56"/>
      <c r="D286" s="56"/>
      <c r="E286" s="56"/>
      <c r="F286" s="56"/>
      <c r="G286" s="56"/>
      <c r="H286" s="56"/>
    </row>
    <row r="287" spans="2:8" ht="14.25" x14ac:dyDescent="0.25">
      <c r="B287" s="56"/>
      <c r="C287" s="56"/>
      <c r="D287" s="56"/>
      <c r="E287" s="56"/>
      <c r="F287" s="56"/>
      <c r="G287" s="56"/>
      <c r="H287" s="56"/>
    </row>
    <row r="288" spans="2:8" ht="14.25" x14ac:dyDescent="0.25">
      <c r="B288" s="56"/>
      <c r="C288" s="56"/>
      <c r="D288" s="56"/>
      <c r="E288" s="56"/>
      <c r="F288" s="56"/>
      <c r="G288" s="56"/>
      <c r="H288" s="56"/>
    </row>
    <row r="289" spans="2:8" ht="14.25" x14ac:dyDescent="0.25">
      <c r="B289" s="56"/>
      <c r="C289" s="56"/>
      <c r="D289" s="56"/>
      <c r="E289" s="56"/>
      <c r="F289" s="56"/>
      <c r="G289" s="56"/>
      <c r="H289" s="56"/>
    </row>
    <row r="290" spans="2:8" ht="14.25" x14ac:dyDescent="0.25">
      <c r="B290" s="56"/>
      <c r="C290" s="56"/>
      <c r="D290" s="56"/>
      <c r="E290" s="56"/>
      <c r="F290" s="56"/>
      <c r="G290" s="56"/>
      <c r="H290" s="56"/>
    </row>
    <row r="291" spans="2:8" ht="14.25" x14ac:dyDescent="0.25">
      <c r="B291" s="56"/>
      <c r="C291" s="56"/>
      <c r="D291" s="56"/>
      <c r="E291" s="56"/>
      <c r="F291" s="56"/>
      <c r="G291" s="56"/>
      <c r="H291" s="56"/>
    </row>
    <row r="292" spans="2:8" ht="14.25" x14ac:dyDescent="0.25">
      <c r="B292" s="56"/>
      <c r="C292" s="56"/>
      <c r="D292" s="56"/>
      <c r="E292" s="56"/>
      <c r="F292" s="56"/>
      <c r="G292" s="56"/>
      <c r="H292" s="56"/>
    </row>
    <row r="293" spans="2:8" ht="14.25" x14ac:dyDescent="0.25">
      <c r="B293" s="56"/>
      <c r="C293" s="56"/>
      <c r="D293" s="56"/>
      <c r="E293" s="56"/>
      <c r="F293" s="56"/>
      <c r="G293" s="56"/>
      <c r="H293" s="56"/>
    </row>
    <row r="294" spans="2:8" ht="14.25" x14ac:dyDescent="0.25">
      <c r="B294" s="56"/>
      <c r="C294" s="56"/>
      <c r="D294" s="56"/>
      <c r="E294" s="56"/>
      <c r="F294" s="56"/>
      <c r="G294" s="56"/>
      <c r="H294" s="56"/>
    </row>
    <row r="295" spans="2:8" ht="14.25" x14ac:dyDescent="0.25">
      <c r="B295" s="56"/>
      <c r="C295" s="56"/>
      <c r="D295" s="56"/>
      <c r="E295" s="56"/>
      <c r="F295" s="56"/>
      <c r="G295" s="56"/>
      <c r="H295" s="56"/>
    </row>
    <row r="296" spans="2:8" ht="14.25" x14ac:dyDescent="0.25">
      <c r="B296" s="56"/>
      <c r="C296" s="56"/>
      <c r="D296" s="56"/>
      <c r="E296" s="56"/>
      <c r="F296" s="56"/>
      <c r="G296" s="56"/>
      <c r="H296" s="56"/>
    </row>
    <row r="297" spans="2:8" ht="14.25" x14ac:dyDescent="0.25">
      <c r="B297" s="56"/>
      <c r="C297" s="56"/>
      <c r="D297" s="56"/>
      <c r="E297" s="56"/>
      <c r="F297" s="56"/>
      <c r="G297" s="56"/>
      <c r="H297" s="56"/>
    </row>
    <row r="298" spans="2:8" ht="14.25" x14ac:dyDescent="0.25">
      <c r="B298" s="56"/>
      <c r="C298" s="56"/>
      <c r="D298" s="56"/>
      <c r="E298" s="56"/>
      <c r="F298" s="56"/>
      <c r="G298" s="56"/>
      <c r="H298" s="56"/>
    </row>
    <row r="299" spans="2:8" ht="14.25" x14ac:dyDescent="0.25">
      <c r="B299" s="56"/>
      <c r="C299" s="56"/>
      <c r="D299" s="56"/>
      <c r="E299" s="56"/>
      <c r="F299" s="56"/>
      <c r="G299" s="56"/>
      <c r="H299" s="56"/>
    </row>
    <row r="300" spans="2:8" ht="14.25" x14ac:dyDescent="0.25">
      <c r="B300" s="56"/>
      <c r="C300" s="56"/>
      <c r="D300" s="56"/>
      <c r="E300" s="56"/>
      <c r="F300" s="56"/>
      <c r="G300" s="56"/>
      <c r="H300" s="56"/>
    </row>
    <row r="301" spans="2:8" ht="14.25" x14ac:dyDescent="0.25">
      <c r="B301" s="56"/>
      <c r="C301" s="56"/>
      <c r="D301" s="56"/>
      <c r="E301" s="56"/>
      <c r="F301" s="56"/>
      <c r="G301" s="56"/>
      <c r="H301" s="56"/>
    </row>
    <row r="302" spans="2:8" ht="14.25" x14ac:dyDescent="0.25">
      <c r="B302" s="56"/>
      <c r="C302" s="56"/>
      <c r="D302" s="56"/>
      <c r="E302" s="56"/>
      <c r="F302" s="56"/>
      <c r="G302" s="56"/>
      <c r="H302" s="56"/>
    </row>
    <row r="303" spans="2:8" ht="14.25" x14ac:dyDescent="0.25">
      <c r="B303" s="56"/>
      <c r="C303" s="56"/>
      <c r="D303" s="56"/>
      <c r="E303" s="56"/>
      <c r="F303" s="56"/>
      <c r="G303" s="56"/>
      <c r="H303" s="56"/>
    </row>
    <row r="304" spans="2:8" ht="14.25" x14ac:dyDescent="0.25">
      <c r="B304" s="56"/>
      <c r="C304" s="56"/>
      <c r="D304" s="56"/>
      <c r="E304" s="56"/>
      <c r="F304" s="56"/>
      <c r="G304" s="56"/>
      <c r="H304" s="56"/>
    </row>
    <row r="305" spans="2:8" ht="14.25" x14ac:dyDescent="0.25">
      <c r="B305" s="56"/>
      <c r="C305" s="56"/>
      <c r="D305" s="56"/>
      <c r="E305" s="56"/>
      <c r="F305" s="56"/>
      <c r="G305" s="56"/>
      <c r="H305" s="56"/>
    </row>
    <row r="306" spans="2:8" ht="14.25" x14ac:dyDescent="0.25">
      <c r="B306" s="56"/>
      <c r="C306" s="56"/>
      <c r="D306" s="56"/>
      <c r="E306" s="56"/>
      <c r="F306" s="56"/>
      <c r="G306" s="56"/>
      <c r="H306" s="56"/>
    </row>
    <row r="307" spans="2:8" ht="14.25" x14ac:dyDescent="0.25">
      <c r="B307" s="56"/>
      <c r="C307" s="56"/>
      <c r="D307" s="56"/>
      <c r="E307" s="56"/>
      <c r="F307" s="56"/>
      <c r="G307" s="56"/>
      <c r="H307" s="56"/>
    </row>
    <row r="308" spans="2:8" ht="14.25" x14ac:dyDescent="0.25">
      <c r="B308" s="56"/>
      <c r="C308" s="56"/>
      <c r="D308" s="56"/>
      <c r="E308" s="56"/>
      <c r="F308" s="56"/>
      <c r="G308" s="56"/>
      <c r="H308" s="56"/>
    </row>
    <row r="309" spans="2:8" ht="14.25" x14ac:dyDescent="0.25">
      <c r="B309" s="56"/>
      <c r="C309" s="56"/>
      <c r="D309" s="56"/>
      <c r="E309" s="56"/>
      <c r="F309" s="56"/>
      <c r="G309" s="56"/>
      <c r="H309" s="56"/>
    </row>
    <row r="310" spans="2:8" ht="14.25" x14ac:dyDescent="0.25">
      <c r="B310" s="56"/>
      <c r="C310" s="56"/>
      <c r="D310" s="56"/>
      <c r="E310" s="56"/>
      <c r="F310" s="56"/>
      <c r="G310" s="56"/>
      <c r="H310" s="56"/>
    </row>
    <row r="311" spans="2:8" ht="14.25" x14ac:dyDescent="0.25">
      <c r="B311" s="56"/>
      <c r="C311" s="56"/>
      <c r="D311" s="56"/>
      <c r="E311" s="56"/>
      <c r="F311" s="56"/>
      <c r="G311" s="56"/>
      <c r="H311" s="56"/>
    </row>
    <row r="312" spans="2:8" ht="14.25" x14ac:dyDescent="0.25">
      <c r="B312" s="56"/>
      <c r="C312" s="56"/>
      <c r="D312" s="56"/>
      <c r="E312" s="56"/>
      <c r="F312" s="56"/>
      <c r="G312" s="56"/>
      <c r="H312" s="56"/>
    </row>
    <row r="313" spans="2:8" ht="14.25" x14ac:dyDescent="0.25">
      <c r="B313" s="56"/>
      <c r="C313" s="56"/>
      <c r="D313" s="56"/>
      <c r="E313" s="56"/>
      <c r="F313" s="56"/>
      <c r="G313" s="56"/>
      <c r="H313" s="56"/>
    </row>
    <row r="314" spans="2:8" ht="14.25" x14ac:dyDescent="0.25">
      <c r="B314" s="56"/>
      <c r="C314" s="56"/>
      <c r="D314" s="56"/>
      <c r="E314" s="56"/>
      <c r="F314" s="56"/>
      <c r="G314" s="56"/>
      <c r="H314" s="56"/>
    </row>
    <row r="315" spans="2:8" ht="14.25" x14ac:dyDescent="0.25">
      <c r="B315" s="56"/>
      <c r="C315" s="56"/>
      <c r="D315" s="56"/>
      <c r="E315" s="56"/>
      <c r="F315" s="56"/>
      <c r="G315" s="56"/>
      <c r="H315" s="56"/>
    </row>
    <row r="316" spans="2:8" ht="14.25" x14ac:dyDescent="0.25">
      <c r="B316" s="56"/>
      <c r="C316" s="56"/>
      <c r="D316" s="56"/>
      <c r="E316" s="56"/>
      <c r="F316" s="56"/>
      <c r="G316" s="56"/>
      <c r="H316" s="56"/>
    </row>
    <row r="317" spans="2:8" ht="14.25" x14ac:dyDescent="0.25">
      <c r="B317" s="56"/>
      <c r="C317" s="56"/>
      <c r="D317" s="56"/>
      <c r="E317" s="56"/>
      <c r="F317" s="56"/>
      <c r="G317" s="56"/>
      <c r="H317" s="56"/>
    </row>
    <row r="318" spans="2:8" ht="14.25" x14ac:dyDescent="0.25">
      <c r="B318" s="56"/>
      <c r="C318" s="56"/>
      <c r="D318" s="56"/>
      <c r="E318" s="56"/>
      <c r="F318" s="56"/>
      <c r="G318" s="56"/>
      <c r="H318" s="56"/>
    </row>
    <row r="319" spans="2:8" ht="14.25" x14ac:dyDescent="0.25">
      <c r="B319" s="56"/>
      <c r="C319" s="56"/>
      <c r="D319" s="56"/>
      <c r="E319" s="56"/>
      <c r="F319" s="56"/>
      <c r="G319" s="56"/>
      <c r="H319" s="56"/>
    </row>
    <row r="320" spans="2:8" ht="14.25" x14ac:dyDescent="0.25">
      <c r="B320" s="56"/>
      <c r="C320" s="56"/>
      <c r="D320" s="56"/>
      <c r="E320" s="56"/>
      <c r="F320" s="56"/>
      <c r="G320" s="56"/>
      <c r="H320" s="56"/>
    </row>
    <row r="321" spans="2:8" ht="14.25" x14ac:dyDescent="0.25">
      <c r="B321" s="56"/>
      <c r="C321" s="56"/>
      <c r="D321" s="56"/>
      <c r="E321" s="56"/>
      <c r="F321" s="56"/>
      <c r="G321" s="56"/>
      <c r="H321" s="56"/>
    </row>
    <row r="322" spans="2:8" ht="14.25" x14ac:dyDescent="0.25">
      <c r="B322" s="56"/>
      <c r="C322" s="56"/>
      <c r="D322" s="56"/>
      <c r="E322" s="56"/>
      <c r="F322" s="56"/>
      <c r="G322" s="56"/>
      <c r="H322" s="56"/>
    </row>
    <row r="323" spans="2:8" ht="14.25" x14ac:dyDescent="0.25">
      <c r="B323" s="56"/>
      <c r="C323" s="56"/>
      <c r="D323" s="56"/>
      <c r="E323" s="56"/>
      <c r="F323" s="56"/>
      <c r="G323" s="56"/>
      <c r="H323" s="56"/>
    </row>
    <row r="324" spans="2:8" ht="14.25" x14ac:dyDescent="0.25">
      <c r="B324" s="56"/>
      <c r="C324" s="56"/>
      <c r="D324" s="56"/>
      <c r="E324" s="56"/>
      <c r="F324" s="56"/>
      <c r="G324" s="56"/>
      <c r="H324" s="56"/>
    </row>
    <row r="325" spans="2:8" ht="14.25" x14ac:dyDescent="0.25">
      <c r="B325" s="56"/>
      <c r="C325" s="56"/>
      <c r="D325" s="56"/>
      <c r="E325" s="56"/>
      <c r="F325" s="56"/>
      <c r="G325" s="56"/>
      <c r="H325" s="56"/>
    </row>
    <row r="326" spans="2:8" ht="14.25" x14ac:dyDescent="0.25">
      <c r="B326" s="56"/>
      <c r="C326" s="56"/>
      <c r="D326" s="56"/>
      <c r="E326" s="56"/>
      <c r="F326" s="56"/>
      <c r="G326" s="56"/>
      <c r="H326" s="56"/>
    </row>
    <row r="327" spans="2:8" ht="14.25" x14ac:dyDescent="0.25">
      <c r="B327" s="56"/>
      <c r="C327" s="56"/>
      <c r="D327" s="56"/>
      <c r="E327" s="56"/>
      <c r="F327" s="56"/>
      <c r="G327" s="56"/>
      <c r="H327" s="56"/>
    </row>
    <row r="328" spans="2:8" ht="14.25" x14ac:dyDescent="0.25">
      <c r="B328" s="56"/>
      <c r="C328" s="56"/>
      <c r="D328" s="56"/>
      <c r="E328" s="56"/>
      <c r="F328" s="56"/>
      <c r="G328" s="56"/>
      <c r="H328" s="56"/>
    </row>
    <row r="329" spans="2:8" ht="14.25" x14ac:dyDescent="0.25">
      <c r="B329" s="56"/>
      <c r="C329" s="56"/>
      <c r="D329" s="56"/>
      <c r="E329" s="56"/>
      <c r="F329" s="56"/>
      <c r="G329" s="56"/>
      <c r="H329" s="56"/>
    </row>
    <row r="330" spans="2:8" ht="14.25" x14ac:dyDescent="0.25">
      <c r="B330" s="56"/>
      <c r="C330" s="56"/>
      <c r="D330" s="56"/>
      <c r="E330" s="56"/>
      <c r="F330" s="56"/>
      <c r="G330" s="56"/>
      <c r="H330" s="56"/>
    </row>
    <row r="331" spans="2:8" ht="14.25" x14ac:dyDescent="0.25">
      <c r="B331" s="56"/>
      <c r="C331" s="56"/>
      <c r="D331" s="56"/>
      <c r="E331" s="56"/>
      <c r="F331" s="56"/>
      <c r="G331" s="56"/>
      <c r="H331" s="56"/>
    </row>
    <row r="332" spans="2:8" ht="14.25" x14ac:dyDescent="0.25">
      <c r="B332" s="56"/>
      <c r="C332" s="56"/>
      <c r="D332" s="56"/>
      <c r="E332" s="56"/>
      <c r="F332" s="56"/>
      <c r="G332" s="56"/>
      <c r="H332" s="56"/>
    </row>
    <row r="333" spans="2:8" ht="14.25" x14ac:dyDescent="0.25">
      <c r="B333" s="56"/>
      <c r="C333" s="56"/>
      <c r="D333" s="56"/>
      <c r="E333" s="56"/>
      <c r="F333" s="56"/>
      <c r="G333" s="56"/>
      <c r="H333" s="56"/>
    </row>
    <row r="334" spans="2:8" ht="14.25" x14ac:dyDescent="0.25">
      <c r="B334" s="56"/>
      <c r="C334" s="56"/>
      <c r="D334" s="56"/>
      <c r="E334" s="56"/>
      <c r="F334" s="56"/>
      <c r="G334" s="56"/>
      <c r="H334" s="56"/>
    </row>
    <row r="335" spans="2:8" ht="14.25" x14ac:dyDescent="0.25">
      <c r="B335" s="56"/>
      <c r="C335" s="56"/>
      <c r="D335" s="56"/>
      <c r="E335" s="56"/>
      <c r="F335" s="56"/>
      <c r="G335" s="56"/>
      <c r="H335" s="56"/>
    </row>
    <row r="336" spans="2:8" ht="14.25" x14ac:dyDescent="0.25">
      <c r="B336" s="56"/>
      <c r="C336" s="56"/>
      <c r="D336" s="56"/>
      <c r="E336" s="56"/>
      <c r="F336" s="56"/>
      <c r="G336" s="56"/>
      <c r="H336" s="56"/>
    </row>
    <row r="337" spans="2:8" ht="14.25" x14ac:dyDescent="0.25">
      <c r="B337" s="56"/>
      <c r="C337" s="56"/>
      <c r="D337" s="56"/>
      <c r="E337" s="56"/>
      <c r="F337" s="56"/>
      <c r="G337" s="56"/>
      <c r="H337" s="56"/>
    </row>
    <row r="338" spans="2:8" ht="14.25" x14ac:dyDescent="0.25">
      <c r="B338" s="56"/>
      <c r="C338" s="56"/>
      <c r="D338" s="56"/>
      <c r="E338" s="56"/>
      <c r="F338" s="56"/>
      <c r="G338" s="56"/>
      <c r="H338" s="56"/>
    </row>
  </sheetData>
  <mergeCells count="3">
    <mergeCell ref="B40:H40"/>
    <mergeCell ref="B45:H45"/>
    <mergeCell ref="B46:H46"/>
  </mergeCells>
  <dataValidations count="1">
    <dataValidation type="date" operator="equal" allowBlank="1" showInputMessage="1" showErrorMessage="1" sqref="B21">
      <formula1>K24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85" r:id="rId4" name="SpinButton1">
          <controlPr defaultSize="0" autoLine="0" r:id="rId5">
            <anchor moveWithCells="1">
              <from>
                <xdr:col>0</xdr:col>
                <xdr:colOff>95250</xdr:colOff>
                <xdr:row>17</xdr:row>
                <xdr:rowOff>38100</xdr:rowOff>
              </from>
              <to>
                <xdr:col>0</xdr:col>
                <xdr:colOff>571500</xdr:colOff>
                <xdr:row>17</xdr:row>
                <xdr:rowOff>238125</xdr:rowOff>
              </to>
            </anchor>
          </controlPr>
        </control>
      </mc:Choice>
      <mc:Fallback>
        <control shapeId="2085" r:id="rId4" name="SpinButton1"/>
      </mc:Fallback>
    </mc:AlternateContent>
    <mc:AlternateContent xmlns:mc="http://schemas.openxmlformats.org/markup-compatibility/2006">
      <mc:Choice Requires="x14">
        <control shapeId="2061" r:id="rId6" name="Button 13">
          <controlPr defaultSize="0" print="0" autoFill="0" autoPict="0" macro="[0]!repkosten">
            <anchor moveWithCells="1" sizeWithCells="1">
              <from>
                <xdr:col>5</xdr:col>
                <xdr:colOff>0</xdr:colOff>
                <xdr:row>16</xdr:row>
                <xdr:rowOff>180975</xdr:rowOff>
              </from>
              <to>
                <xdr:col>7</xdr:col>
                <xdr:colOff>142875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7" name="Button 15">
          <controlPr defaultSize="0" print="0" autoFill="0" autoPict="0" macro="[0]!formakustiker">
            <anchor moveWithCells="1" sizeWithCells="1">
              <from>
                <xdr:col>1</xdr:col>
                <xdr:colOff>0</xdr:colOff>
                <xdr:row>8</xdr:row>
                <xdr:rowOff>9525</xdr:rowOff>
              </from>
              <to>
                <xdr:col>2</xdr:col>
                <xdr:colOff>561975</xdr:colOff>
                <xdr:row>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8" name="Button 16">
          <controlPr defaultSize="0" print="0" autoFill="0" autoPict="0" macro="[0]!formzeitraum1">
            <anchor moveWithCells="1" sizeWithCells="1">
              <from>
                <xdr:col>3</xdr:col>
                <xdr:colOff>523875</xdr:colOff>
                <xdr:row>16</xdr:row>
                <xdr:rowOff>180975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9" r:id="rId9" name="Button 41">
          <controlPr defaultSize="0" print="0" autoFill="0" autoPict="0" macro="[0]!Datumoefnnen">
            <anchor moveWithCells="1">
              <from>
                <xdr:col>1</xdr:col>
                <xdr:colOff>0</xdr:colOff>
                <xdr:row>19</xdr:row>
                <xdr:rowOff>19050</xdr:rowOff>
              </from>
              <to>
                <xdr:col>2</xdr:col>
                <xdr:colOff>0</xdr:colOff>
                <xdr:row>20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0" r:id="rId10" name="Button 42">
          <controlPr defaultSize="0" print="0" autoFill="0" autoPict="0" macro="[0]!erstelle_pdf">
            <anchor moveWithCells="1" sizeWithCells="1">
              <from>
                <xdr:col>4</xdr:col>
                <xdr:colOff>66675</xdr:colOff>
                <xdr:row>0</xdr:row>
                <xdr:rowOff>104775</xdr:rowOff>
              </from>
              <to>
                <xdr:col>5</xdr:col>
                <xdr:colOff>676275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11" name="Button 43">
          <controlPr defaultSize="0" print="0" autoFill="0" autoPict="0" macro="[0]!akustdaten_aufruf">
            <anchor moveWithCells="1" sizeWithCells="1">
              <from>
                <xdr:col>2</xdr:col>
                <xdr:colOff>676275</xdr:colOff>
                <xdr:row>8</xdr:row>
                <xdr:rowOff>0</xdr:rowOff>
              </from>
              <to>
                <xdr:col>4</xdr:col>
                <xdr:colOff>304800</xdr:colOff>
                <xdr:row>9</xdr:row>
                <xdr:rowOff>133350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infos!$A$1:$A$5</xm:f>
          </x14:formula1>
          <xm:sqref>D21:D33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F96"/>
  <sheetViews>
    <sheetView zoomScale="130" zoomScaleNormal="130" workbookViewId="0">
      <pane ySplit="1" topLeftCell="A78" activePane="bottomLeft" state="frozen"/>
      <selection pane="bottomLeft" activeCell="A96" sqref="A96:XFD96"/>
    </sheetView>
  </sheetViews>
  <sheetFormatPr baseColWidth="10" defaultColWidth="9.140625" defaultRowHeight="14.25" x14ac:dyDescent="0.2"/>
  <cols>
    <col min="1" max="1" width="39.28515625" style="1" customWidth="1"/>
    <col min="2" max="2" width="40.7109375" style="1" customWidth="1"/>
    <col min="3" max="3" width="48.7109375" style="1" bestFit="1" customWidth="1"/>
    <col min="4" max="4" width="28" style="1" customWidth="1"/>
    <col min="5" max="5" width="41.140625" style="1" customWidth="1"/>
    <col min="6" max="6" width="12.42578125" style="1" customWidth="1"/>
    <col min="7" max="16384" width="9.140625" style="1"/>
  </cols>
  <sheetData>
    <row r="1" spans="1:6" ht="45.75" customHeight="1" x14ac:dyDescent="0.25">
      <c r="A1" s="3" t="s">
        <v>170</v>
      </c>
      <c r="B1" s="3" t="s">
        <v>3</v>
      </c>
      <c r="C1" s="3" t="s">
        <v>279</v>
      </c>
      <c r="D1" s="3" t="s">
        <v>4</v>
      </c>
      <c r="E1" s="3" t="s">
        <v>5</v>
      </c>
      <c r="F1" s="3" t="s">
        <v>233</v>
      </c>
    </row>
    <row r="2" spans="1:6" ht="24" customHeight="1" x14ac:dyDescent="0.2">
      <c r="A2" s="1">
        <v>1</v>
      </c>
      <c r="B2" s="1">
        <v>2</v>
      </c>
      <c r="C2" s="1">
        <v>3</v>
      </c>
      <c r="D2" s="1">
        <v>4</v>
      </c>
      <c r="E2" s="1">
        <v>56</v>
      </c>
      <c r="F2" s="1">
        <v>6</v>
      </c>
    </row>
    <row r="3" spans="1:6" x14ac:dyDescent="0.2">
      <c r="A3" s="4" t="s">
        <v>17</v>
      </c>
      <c r="B3" s="4" t="s">
        <v>270</v>
      </c>
      <c r="C3" s="4" t="s">
        <v>0</v>
      </c>
      <c r="D3" s="4" t="s">
        <v>1</v>
      </c>
      <c r="E3" s="4" t="s">
        <v>2</v>
      </c>
    </row>
    <row r="4" spans="1:6" x14ac:dyDescent="0.2">
      <c r="A4" s="2" t="s">
        <v>18</v>
      </c>
      <c r="B4" s="2" t="s">
        <v>6</v>
      </c>
      <c r="C4" s="2" t="s">
        <v>7</v>
      </c>
      <c r="D4" s="2" t="s">
        <v>8</v>
      </c>
      <c r="E4" s="2" t="s">
        <v>9</v>
      </c>
    </row>
    <row r="5" spans="1:6" x14ac:dyDescent="0.2">
      <c r="A5" s="2" t="s">
        <v>19</v>
      </c>
      <c r="B5" s="2" t="s">
        <v>10</v>
      </c>
      <c r="D5" s="2" t="s">
        <v>11</v>
      </c>
      <c r="E5" s="2" t="s">
        <v>12</v>
      </c>
    </row>
    <row r="6" spans="1:6" x14ac:dyDescent="0.2">
      <c r="A6" s="2" t="s">
        <v>16</v>
      </c>
      <c r="B6" s="2" t="s">
        <v>271</v>
      </c>
      <c r="C6" s="1" t="s">
        <v>13</v>
      </c>
      <c r="D6" s="2" t="s">
        <v>14</v>
      </c>
      <c r="E6" s="2" t="s">
        <v>15</v>
      </c>
    </row>
    <row r="7" spans="1:6" x14ac:dyDescent="0.2">
      <c r="A7" s="2" t="s">
        <v>23</v>
      </c>
      <c r="B7" s="2" t="s">
        <v>20</v>
      </c>
      <c r="D7" s="2" t="s">
        <v>21</v>
      </c>
      <c r="E7" s="2" t="s">
        <v>22</v>
      </c>
    </row>
    <row r="8" spans="1:6" x14ac:dyDescent="0.2">
      <c r="A8" s="2" t="s">
        <v>27</v>
      </c>
      <c r="B8" s="2" t="s">
        <v>24</v>
      </c>
      <c r="D8" s="2" t="s">
        <v>25</v>
      </c>
      <c r="E8" s="2" t="s">
        <v>26</v>
      </c>
    </row>
    <row r="9" spans="1:6" x14ac:dyDescent="0.2">
      <c r="A9" s="1" t="s">
        <v>171</v>
      </c>
      <c r="B9" s="1" t="s">
        <v>272</v>
      </c>
      <c r="D9" s="2" t="s">
        <v>31</v>
      </c>
      <c r="E9" s="2" t="s">
        <v>28</v>
      </c>
    </row>
    <row r="10" spans="1:6" x14ac:dyDescent="0.2">
      <c r="A10" s="1" t="s">
        <v>172</v>
      </c>
      <c r="B10" s="2" t="s">
        <v>272</v>
      </c>
      <c r="D10" s="2" t="s">
        <v>29</v>
      </c>
      <c r="E10" s="2" t="s">
        <v>30</v>
      </c>
    </row>
    <row r="11" spans="1:6" x14ac:dyDescent="0.2">
      <c r="A11" s="1" t="s">
        <v>273</v>
      </c>
      <c r="B11" s="2" t="s">
        <v>272</v>
      </c>
      <c r="D11" s="2" t="s">
        <v>31</v>
      </c>
      <c r="E11" s="2" t="s">
        <v>28</v>
      </c>
    </row>
    <row r="12" spans="1:6" x14ac:dyDescent="0.2">
      <c r="A12" s="2" t="s">
        <v>32</v>
      </c>
      <c r="B12" s="2" t="s">
        <v>32</v>
      </c>
      <c r="D12" s="2" t="s">
        <v>33</v>
      </c>
      <c r="E12" s="2" t="s">
        <v>34</v>
      </c>
    </row>
    <row r="13" spans="1:6" x14ac:dyDescent="0.2">
      <c r="A13" s="2" t="s">
        <v>35</v>
      </c>
      <c r="B13" s="2" t="s">
        <v>35</v>
      </c>
      <c r="D13" s="2" t="s">
        <v>36</v>
      </c>
      <c r="E13" s="2" t="s">
        <v>37</v>
      </c>
    </row>
    <row r="14" spans="1:6" x14ac:dyDescent="0.2">
      <c r="A14" s="2" t="s">
        <v>38</v>
      </c>
      <c r="B14" s="2" t="s">
        <v>38</v>
      </c>
      <c r="D14" s="2" t="s">
        <v>39</v>
      </c>
      <c r="E14" s="2" t="s">
        <v>40</v>
      </c>
    </row>
    <row r="15" spans="1:6" x14ac:dyDescent="0.2">
      <c r="A15" s="2" t="s">
        <v>49</v>
      </c>
      <c r="B15" s="2" t="s">
        <v>49</v>
      </c>
      <c r="D15" s="2" t="s">
        <v>47</v>
      </c>
      <c r="E15" s="2" t="s">
        <v>48</v>
      </c>
    </row>
    <row r="16" spans="1:6" x14ac:dyDescent="0.2">
      <c r="A16" s="2" t="s">
        <v>207</v>
      </c>
      <c r="B16" s="2" t="s">
        <v>41</v>
      </c>
      <c r="C16" s="2" t="s">
        <v>42</v>
      </c>
      <c r="D16" s="2" t="s">
        <v>43</v>
      </c>
      <c r="E16" s="2" t="s">
        <v>44</v>
      </c>
    </row>
    <row r="17" spans="1:5" x14ac:dyDescent="0.2">
      <c r="A17" s="2" t="s">
        <v>208</v>
      </c>
      <c r="B17" s="2" t="s">
        <v>41</v>
      </c>
      <c r="C17" s="2" t="s">
        <v>42</v>
      </c>
      <c r="D17" s="2" t="s">
        <v>45</v>
      </c>
      <c r="E17" s="2" t="s">
        <v>46</v>
      </c>
    </row>
    <row r="18" spans="1:5" x14ac:dyDescent="0.2">
      <c r="A18" s="2" t="s">
        <v>50</v>
      </c>
      <c r="B18" s="2" t="s">
        <v>50</v>
      </c>
      <c r="D18" s="2" t="s">
        <v>51</v>
      </c>
      <c r="E18" s="2" t="s">
        <v>52</v>
      </c>
    </row>
    <row r="19" spans="1:5" x14ac:dyDescent="0.2">
      <c r="A19" s="2" t="s">
        <v>53</v>
      </c>
      <c r="B19" s="2" t="s">
        <v>53</v>
      </c>
      <c r="D19" s="2" t="s">
        <v>54</v>
      </c>
      <c r="E19" s="2" t="s">
        <v>55</v>
      </c>
    </row>
    <row r="20" spans="1:5" x14ac:dyDescent="0.2">
      <c r="A20" s="2" t="s">
        <v>56</v>
      </c>
      <c r="B20" s="2" t="s">
        <v>56</v>
      </c>
      <c r="D20" s="2" t="s">
        <v>57</v>
      </c>
      <c r="E20" s="2" t="s">
        <v>58</v>
      </c>
    </row>
    <row r="21" spans="1:5" x14ac:dyDescent="0.2">
      <c r="A21" s="2" t="s">
        <v>59</v>
      </c>
      <c r="B21" s="2" t="s">
        <v>59</v>
      </c>
      <c r="D21" s="2" t="s">
        <v>60</v>
      </c>
      <c r="E21" s="2" t="s">
        <v>61</v>
      </c>
    </row>
    <row r="22" spans="1:5" x14ac:dyDescent="0.2">
      <c r="A22" s="2" t="s">
        <v>274</v>
      </c>
      <c r="B22" s="2" t="s">
        <v>62</v>
      </c>
      <c r="C22" s="2" t="s">
        <v>63</v>
      </c>
      <c r="D22" s="2" t="s">
        <v>64</v>
      </c>
      <c r="E22" s="2" t="s">
        <v>65</v>
      </c>
    </row>
    <row r="23" spans="1:5" x14ac:dyDescent="0.2">
      <c r="A23" s="2" t="s">
        <v>97</v>
      </c>
      <c r="B23" s="1" t="s">
        <v>66</v>
      </c>
      <c r="C23" s="2" t="s">
        <v>67</v>
      </c>
      <c r="D23" s="2" t="s">
        <v>68</v>
      </c>
      <c r="E23" s="2" t="s">
        <v>69</v>
      </c>
    </row>
    <row r="24" spans="1:5" x14ac:dyDescent="0.2">
      <c r="A24" s="2" t="s">
        <v>70</v>
      </c>
      <c r="B24" s="2" t="s">
        <v>70</v>
      </c>
      <c r="C24" s="2" t="s">
        <v>73</v>
      </c>
      <c r="D24" s="2" t="s">
        <v>71</v>
      </c>
      <c r="E24" s="2" t="s">
        <v>72</v>
      </c>
    </row>
    <row r="25" spans="1:5" x14ac:dyDescent="0.2">
      <c r="A25" s="2" t="s">
        <v>74</v>
      </c>
      <c r="B25" s="2" t="s">
        <v>74</v>
      </c>
      <c r="C25" s="2" t="s">
        <v>75</v>
      </c>
      <c r="D25" s="2" t="s">
        <v>76</v>
      </c>
      <c r="E25" s="2" t="s">
        <v>77</v>
      </c>
    </row>
    <row r="26" spans="1:5" x14ac:dyDescent="0.2">
      <c r="A26" s="2" t="s">
        <v>78</v>
      </c>
      <c r="B26" s="2" t="s">
        <v>78</v>
      </c>
      <c r="C26" s="2" t="s">
        <v>79</v>
      </c>
      <c r="D26" s="2" t="s">
        <v>80</v>
      </c>
      <c r="E26" s="2" t="s">
        <v>81</v>
      </c>
    </row>
    <row r="27" spans="1:5" x14ac:dyDescent="0.2">
      <c r="A27" s="2" t="s">
        <v>82</v>
      </c>
      <c r="B27" s="2" t="s">
        <v>82</v>
      </c>
      <c r="C27" s="2" t="s">
        <v>83</v>
      </c>
      <c r="D27" s="2" t="s">
        <v>84</v>
      </c>
      <c r="E27" s="2" t="s">
        <v>85</v>
      </c>
    </row>
    <row r="28" spans="1:5" x14ac:dyDescent="0.2">
      <c r="A28" s="2" t="s">
        <v>86</v>
      </c>
      <c r="B28" s="2" t="s">
        <v>86</v>
      </c>
      <c r="C28" s="2" t="s">
        <v>87</v>
      </c>
      <c r="D28" s="2" t="s">
        <v>88</v>
      </c>
      <c r="E28" s="2" t="s">
        <v>89</v>
      </c>
    </row>
    <row r="29" spans="1:5" x14ac:dyDescent="0.2">
      <c r="A29" s="2" t="s">
        <v>90</v>
      </c>
      <c r="B29" s="2" t="s">
        <v>90</v>
      </c>
      <c r="D29" s="2" t="s">
        <v>91</v>
      </c>
      <c r="E29" s="2" t="s">
        <v>92</v>
      </c>
    </row>
    <row r="30" spans="1:5" x14ac:dyDescent="0.2">
      <c r="A30" s="2" t="s">
        <v>93</v>
      </c>
      <c r="B30" s="2" t="s">
        <v>93</v>
      </c>
      <c r="C30" s="2" t="s">
        <v>94</v>
      </c>
      <c r="D30" s="2" t="s">
        <v>95</v>
      </c>
      <c r="E30" s="2" t="s">
        <v>96</v>
      </c>
    </row>
    <row r="31" spans="1:5" x14ac:dyDescent="0.2">
      <c r="A31" s="2" t="s">
        <v>98</v>
      </c>
      <c r="B31" s="2" t="s">
        <v>98</v>
      </c>
      <c r="D31" s="2" t="s">
        <v>99</v>
      </c>
      <c r="E31" s="2" t="s">
        <v>100</v>
      </c>
    </row>
    <row r="32" spans="1:5" x14ac:dyDescent="0.2">
      <c r="A32" s="2" t="s">
        <v>101</v>
      </c>
      <c r="B32" s="2" t="s">
        <v>101</v>
      </c>
      <c r="C32" s="2" t="s">
        <v>102</v>
      </c>
      <c r="D32" s="2" t="s">
        <v>103</v>
      </c>
      <c r="E32" s="2" t="s">
        <v>104</v>
      </c>
    </row>
    <row r="33" spans="1:6" x14ac:dyDescent="0.2">
      <c r="A33" s="2" t="s">
        <v>117</v>
      </c>
      <c r="B33" s="10" t="s">
        <v>276</v>
      </c>
      <c r="D33" s="2" t="s">
        <v>109</v>
      </c>
      <c r="E33" s="2" t="s">
        <v>108</v>
      </c>
    </row>
    <row r="34" spans="1:6" x14ac:dyDescent="0.2">
      <c r="A34" s="2" t="s">
        <v>116</v>
      </c>
      <c r="B34" s="9" t="s">
        <v>275</v>
      </c>
      <c r="C34" s="2" t="s">
        <v>105</v>
      </c>
      <c r="D34" s="2" t="s">
        <v>106</v>
      </c>
      <c r="E34" s="2" t="s">
        <v>107</v>
      </c>
    </row>
    <row r="35" spans="1:6" x14ac:dyDescent="0.2">
      <c r="A35" s="5" t="s">
        <v>118</v>
      </c>
      <c r="B35" s="11" t="s">
        <v>276</v>
      </c>
      <c r="D35" s="5" t="s">
        <v>110</v>
      </c>
      <c r="E35" s="5" t="s">
        <v>111</v>
      </c>
    </row>
    <row r="36" spans="1:6" x14ac:dyDescent="0.2">
      <c r="A36" s="2" t="s">
        <v>119</v>
      </c>
      <c r="B36" s="2" t="s">
        <v>119</v>
      </c>
      <c r="D36" s="2" t="s">
        <v>120</v>
      </c>
      <c r="E36" s="2" t="s">
        <v>121</v>
      </c>
    </row>
    <row r="37" spans="1:6" x14ac:dyDescent="0.2">
      <c r="A37" s="2" t="s">
        <v>112</v>
      </c>
      <c r="B37" s="2" t="s">
        <v>112</v>
      </c>
      <c r="C37" s="2" t="s">
        <v>113</v>
      </c>
      <c r="D37" s="2" t="s">
        <v>114</v>
      </c>
      <c r="E37" s="2" t="s">
        <v>115</v>
      </c>
    </row>
    <row r="38" spans="1:6" x14ac:dyDescent="0.2">
      <c r="A38" s="2" t="s">
        <v>230</v>
      </c>
      <c r="B38" s="2" t="s">
        <v>122</v>
      </c>
      <c r="D38" s="2" t="s">
        <v>123</v>
      </c>
      <c r="E38" s="2" t="s">
        <v>124</v>
      </c>
    </row>
    <row r="39" spans="1:6" x14ac:dyDescent="0.2">
      <c r="A39" s="2" t="s">
        <v>231</v>
      </c>
      <c r="B39" s="2" t="s">
        <v>122</v>
      </c>
      <c r="D39" s="2" t="s">
        <v>125</v>
      </c>
      <c r="E39" s="2" t="s">
        <v>126</v>
      </c>
    </row>
    <row r="40" spans="1:6" x14ac:dyDescent="0.2">
      <c r="A40" s="2" t="s">
        <v>210</v>
      </c>
      <c r="B40" s="2" t="s">
        <v>127</v>
      </c>
      <c r="D40" s="2" t="s">
        <v>128</v>
      </c>
      <c r="E40" s="2" t="s">
        <v>129</v>
      </c>
    </row>
    <row r="41" spans="1:6" x14ac:dyDescent="0.2">
      <c r="A41" s="2" t="s">
        <v>213</v>
      </c>
      <c r="B41" s="2" t="s">
        <v>127</v>
      </c>
      <c r="D41" s="2" t="s">
        <v>130</v>
      </c>
      <c r="E41" s="2" t="s">
        <v>131</v>
      </c>
    </row>
    <row r="42" spans="1:6" x14ac:dyDescent="0.2">
      <c r="A42" s="2" t="s">
        <v>214</v>
      </c>
      <c r="B42" s="2" t="s">
        <v>127</v>
      </c>
      <c r="C42" s="2" t="s">
        <v>132</v>
      </c>
      <c r="D42" s="2" t="s">
        <v>133</v>
      </c>
      <c r="E42" s="2" t="s">
        <v>134</v>
      </c>
    </row>
    <row r="43" spans="1:6" x14ac:dyDescent="0.2">
      <c r="A43" s="2" t="s">
        <v>211</v>
      </c>
      <c r="B43" s="2" t="s">
        <v>139</v>
      </c>
      <c r="D43" s="2" t="s">
        <v>137</v>
      </c>
      <c r="E43" s="2" t="s">
        <v>138</v>
      </c>
    </row>
    <row r="44" spans="1:6" x14ac:dyDescent="0.2">
      <c r="A44" s="2" t="s">
        <v>212</v>
      </c>
      <c r="B44" s="2" t="s">
        <v>139</v>
      </c>
      <c r="D44" s="2" t="s">
        <v>135</v>
      </c>
      <c r="E44" s="2" t="s">
        <v>136</v>
      </c>
    </row>
    <row r="45" spans="1:6" x14ac:dyDescent="0.2">
      <c r="A45" s="2" t="s">
        <v>140</v>
      </c>
      <c r="B45" s="2" t="s">
        <v>140</v>
      </c>
      <c r="C45" s="2" t="s">
        <v>141</v>
      </c>
      <c r="D45" s="2" t="s">
        <v>142</v>
      </c>
      <c r="E45" s="2" t="s">
        <v>143</v>
      </c>
    </row>
    <row r="46" spans="1:6" x14ac:dyDescent="0.2">
      <c r="A46" s="2" t="s">
        <v>144</v>
      </c>
      <c r="B46" s="2" t="s">
        <v>144</v>
      </c>
      <c r="C46" s="2" t="s">
        <v>113</v>
      </c>
      <c r="D46" s="2" t="s">
        <v>145</v>
      </c>
      <c r="E46" s="2" t="s">
        <v>146</v>
      </c>
    </row>
    <row r="47" spans="1:6" x14ac:dyDescent="0.2">
      <c r="A47" s="2" t="s">
        <v>147</v>
      </c>
      <c r="B47" s="2" t="s">
        <v>147</v>
      </c>
      <c r="D47" s="2" t="s">
        <v>148</v>
      </c>
      <c r="E47" s="2" t="s">
        <v>149</v>
      </c>
    </row>
    <row r="48" spans="1:6" x14ac:dyDescent="0.2">
      <c r="A48" s="2" t="s">
        <v>150</v>
      </c>
      <c r="B48" s="2" t="s">
        <v>150</v>
      </c>
      <c r="C48" s="2" t="s">
        <v>151</v>
      </c>
      <c r="D48" s="2" t="s">
        <v>152</v>
      </c>
      <c r="E48" s="2" t="s">
        <v>234</v>
      </c>
      <c r="F48" s="1" t="s">
        <v>232</v>
      </c>
    </row>
    <row r="49" spans="1:5" x14ac:dyDescent="0.2">
      <c r="A49" s="2" t="s">
        <v>153</v>
      </c>
      <c r="B49" s="2" t="s">
        <v>153</v>
      </c>
      <c r="C49" s="2" t="s">
        <v>154</v>
      </c>
      <c r="D49" s="2" t="s">
        <v>155</v>
      </c>
      <c r="E49" s="2" t="s">
        <v>143</v>
      </c>
    </row>
    <row r="50" spans="1:5" x14ac:dyDescent="0.2">
      <c r="A50" s="5" t="s">
        <v>156</v>
      </c>
      <c r="B50" s="5" t="s">
        <v>156</v>
      </c>
      <c r="D50" s="5" t="s">
        <v>157</v>
      </c>
      <c r="E50" s="5" t="s">
        <v>158</v>
      </c>
    </row>
    <row r="51" spans="1:5" x14ac:dyDescent="0.2">
      <c r="A51" s="2" t="s">
        <v>159</v>
      </c>
      <c r="B51" s="2" t="s">
        <v>159</v>
      </c>
      <c r="D51" s="2" t="s">
        <v>160</v>
      </c>
      <c r="E51" s="2" t="s">
        <v>161</v>
      </c>
    </row>
    <row r="52" spans="1:5" x14ac:dyDescent="0.2">
      <c r="A52" s="2" t="s">
        <v>277</v>
      </c>
      <c r="B52" s="2" t="s">
        <v>162</v>
      </c>
      <c r="C52" s="2" t="s">
        <v>163</v>
      </c>
      <c r="D52" s="2" t="s">
        <v>164</v>
      </c>
      <c r="E52" s="2" t="s">
        <v>165</v>
      </c>
    </row>
    <row r="53" spans="1:5" x14ac:dyDescent="0.2">
      <c r="A53" s="1" t="s">
        <v>209</v>
      </c>
      <c r="B53" s="2" t="s">
        <v>178</v>
      </c>
      <c r="D53" s="2" t="s">
        <v>166</v>
      </c>
      <c r="E53" s="2" t="s">
        <v>167</v>
      </c>
    </row>
    <row r="54" spans="1:5" x14ac:dyDescent="0.2">
      <c r="A54" s="2" t="s">
        <v>173</v>
      </c>
      <c r="B54" s="2" t="s">
        <v>173</v>
      </c>
      <c r="D54" s="2" t="s">
        <v>168</v>
      </c>
      <c r="E54" s="2" t="s">
        <v>169</v>
      </c>
    </row>
    <row r="55" spans="1:5" x14ac:dyDescent="0.2">
      <c r="A55" s="2" t="s">
        <v>278</v>
      </c>
      <c r="B55" s="2" t="s">
        <v>174</v>
      </c>
      <c r="C55" s="2" t="s">
        <v>175</v>
      </c>
      <c r="D55" s="2" t="s">
        <v>176</v>
      </c>
      <c r="E55" s="2" t="s">
        <v>177</v>
      </c>
    </row>
    <row r="56" spans="1:5" x14ac:dyDescent="0.2">
      <c r="A56" s="2" t="s">
        <v>179</v>
      </c>
      <c r="B56" s="2" t="s">
        <v>179</v>
      </c>
      <c r="C56" s="2" t="s">
        <v>180</v>
      </c>
      <c r="D56" s="2" t="s">
        <v>181</v>
      </c>
      <c r="E56" s="2" t="s">
        <v>182</v>
      </c>
    </row>
    <row r="57" spans="1:5" x14ac:dyDescent="0.2">
      <c r="A57" s="2" t="s">
        <v>197</v>
      </c>
      <c r="B57" s="2" t="s">
        <v>183</v>
      </c>
      <c r="C57" s="2" t="s">
        <v>184</v>
      </c>
      <c r="D57" s="2" t="s">
        <v>185</v>
      </c>
      <c r="E57" s="2" t="s">
        <v>186</v>
      </c>
    </row>
    <row r="58" spans="1:5" x14ac:dyDescent="0.2">
      <c r="A58" s="2" t="s">
        <v>187</v>
      </c>
      <c r="B58" s="2" t="s">
        <v>187</v>
      </c>
      <c r="D58" s="2" t="s">
        <v>188</v>
      </c>
      <c r="E58" s="2" t="s">
        <v>189</v>
      </c>
    </row>
    <row r="59" spans="1:5" x14ac:dyDescent="0.2">
      <c r="A59" s="2" t="s">
        <v>196</v>
      </c>
      <c r="B59" s="2" t="s">
        <v>190</v>
      </c>
      <c r="D59" s="2" t="s">
        <v>191</v>
      </c>
      <c r="E59" s="2" t="s">
        <v>192</v>
      </c>
    </row>
    <row r="60" spans="1:5" x14ac:dyDescent="0.2">
      <c r="A60" s="2" t="s">
        <v>198</v>
      </c>
      <c r="B60" s="2" t="s">
        <v>226</v>
      </c>
      <c r="C60" s="2" t="s">
        <v>193</v>
      </c>
      <c r="D60" s="2" t="s">
        <v>194</v>
      </c>
      <c r="E60" s="2" t="s">
        <v>195</v>
      </c>
    </row>
    <row r="61" spans="1:5" x14ac:dyDescent="0.2">
      <c r="A61" s="2" t="s">
        <v>199</v>
      </c>
      <c r="B61" s="2" t="s">
        <v>199</v>
      </c>
      <c r="C61" s="2" t="s">
        <v>200</v>
      </c>
      <c r="D61" s="2" t="s">
        <v>201</v>
      </c>
      <c r="E61" s="2" t="s">
        <v>202</v>
      </c>
    </row>
    <row r="62" spans="1:5" x14ac:dyDescent="0.2">
      <c r="A62" s="2" t="s">
        <v>206</v>
      </c>
      <c r="B62" s="2" t="s">
        <v>203</v>
      </c>
      <c r="D62" s="2" t="s">
        <v>204</v>
      </c>
      <c r="E62" s="2" t="s">
        <v>205</v>
      </c>
    </row>
    <row r="63" spans="1:5" x14ac:dyDescent="0.2">
      <c r="A63" s="1" t="s">
        <v>218</v>
      </c>
      <c r="B63" s="2" t="s">
        <v>215</v>
      </c>
      <c r="D63" s="2" t="s">
        <v>216</v>
      </c>
      <c r="E63" s="2" t="s">
        <v>217</v>
      </c>
    </row>
    <row r="64" spans="1:5" x14ac:dyDescent="0.2">
      <c r="A64" s="1" t="s">
        <v>222</v>
      </c>
      <c r="B64" s="2" t="s">
        <v>219</v>
      </c>
      <c r="D64" s="2" t="s">
        <v>220</v>
      </c>
      <c r="E64" s="2" t="s">
        <v>221</v>
      </c>
    </row>
    <row r="65" spans="1:6" x14ac:dyDescent="0.2">
      <c r="A65" s="2" t="s">
        <v>223</v>
      </c>
      <c r="B65" s="2" t="s">
        <v>223</v>
      </c>
      <c r="C65" s="2" t="s">
        <v>224</v>
      </c>
      <c r="D65" s="2" t="s">
        <v>225</v>
      </c>
      <c r="E65" s="2" t="s">
        <v>44</v>
      </c>
    </row>
    <row r="66" spans="1:6" x14ac:dyDescent="0.2">
      <c r="A66" s="2" t="s">
        <v>227</v>
      </c>
      <c r="B66" s="2" t="s">
        <v>227</v>
      </c>
      <c r="D66" s="2" t="s">
        <v>228</v>
      </c>
      <c r="E66" s="2" t="s">
        <v>229</v>
      </c>
    </row>
    <row r="67" spans="1:6" x14ac:dyDescent="0.2">
      <c r="A67" s="6" t="s">
        <v>238</v>
      </c>
      <c r="B67" s="6" t="s">
        <v>235</v>
      </c>
      <c r="D67" s="7" t="s">
        <v>236</v>
      </c>
      <c r="E67" s="8" t="s">
        <v>237</v>
      </c>
      <c r="F67" s="8" t="s">
        <v>232</v>
      </c>
    </row>
    <row r="68" spans="1:6" x14ac:dyDescent="0.2">
      <c r="A68" s="1" t="s">
        <v>242</v>
      </c>
      <c r="B68" s="2" t="s">
        <v>239</v>
      </c>
      <c r="D68" s="2" t="s">
        <v>240</v>
      </c>
      <c r="E68" s="2" t="s">
        <v>241</v>
      </c>
    </row>
    <row r="69" spans="1:6" x14ac:dyDescent="0.2">
      <c r="A69" s="1" t="s">
        <v>246</v>
      </c>
      <c r="B69" s="2" t="s">
        <v>243</v>
      </c>
      <c r="D69" s="2" t="s">
        <v>244</v>
      </c>
      <c r="E69" s="2" t="s">
        <v>245</v>
      </c>
    </row>
    <row r="70" spans="1:6" x14ac:dyDescent="0.2">
      <c r="A70" s="1" t="s">
        <v>251</v>
      </c>
      <c r="B70" s="2" t="s">
        <v>247</v>
      </c>
      <c r="C70" s="2" t="s">
        <v>250</v>
      </c>
      <c r="D70" s="2" t="s">
        <v>248</v>
      </c>
      <c r="E70" s="2" t="s">
        <v>249</v>
      </c>
    </row>
    <row r="71" spans="1:6" x14ac:dyDescent="0.2">
      <c r="A71" s="1" t="s">
        <v>255</v>
      </c>
      <c r="B71" s="2" t="s">
        <v>252</v>
      </c>
      <c r="C71" s="2" t="s">
        <v>253</v>
      </c>
      <c r="D71" s="2" t="s">
        <v>254</v>
      </c>
      <c r="E71" s="2" t="s">
        <v>108</v>
      </c>
    </row>
    <row r="72" spans="1:6" x14ac:dyDescent="0.2">
      <c r="A72" s="1" t="s">
        <v>260</v>
      </c>
      <c r="B72" s="2" t="s">
        <v>256</v>
      </c>
      <c r="C72" s="2" t="s">
        <v>257</v>
      </c>
      <c r="D72" s="2" t="s">
        <v>258</v>
      </c>
      <c r="E72" s="2" t="s">
        <v>259</v>
      </c>
    </row>
    <row r="73" spans="1:6" x14ac:dyDescent="0.2">
      <c r="A73" s="1" t="s">
        <v>268</v>
      </c>
      <c r="B73" s="2" t="s">
        <v>261</v>
      </c>
      <c r="D73" s="2" t="s">
        <v>262</v>
      </c>
      <c r="E73" s="2" t="s">
        <v>263</v>
      </c>
    </row>
    <row r="74" spans="1:6" x14ac:dyDescent="0.2">
      <c r="A74" s="1" t="s">
        <v>269</v>
      </c>
      <c r="B74" s="2" t="s">
        <v>264</v>
      </c>
      <c r="C74" s="2" t="s">
        <v>265</v>
      </c>
      <c r="D74" s="2" t="s">
        <v>266</v>
      </c>
      <c r="E74" s="2" t="s">
        <v>267</v>
      </c>
    </row>
    <row r="75" spans="1:6" x14ac:dyDescent="0.2">
      <c r="A75" s="1" t="s">
        <v>283</v>
      </c>
      <c r="B75" s="12" t="s">
        <v>280</v>
      </c>
      <c r="D75" s="2" t="s">
        <v>281</v>
      </c>
      <c r="E75" s="2" t="s">
        <v>282</v>
      </c>
    </row>
    <row r="76" spans="1:6" ht="15" x14ac:dyDescent="0.2">
      <c r="A76" s="1" t="s">
        <v>288</v>
      </c>
      <c r="B76" s="13" t="s">
        <v>284</v>
      </c>
      <c r="C76" s="13" t="s">
        <v>285</v>
      </c>
      <c r="D76" s="2" t="s">
        <v>286</v>
      </c>
      <c r="E76" s="2" t="s">
        <v>287</v>
      </c>
    </row>
    <row r="77" spans="1:6" x14ac:dyDescent="0.2">
      <c r="A77" s="1" t="s">
        <v>292</v>
      </c>
      <c r="B77" s="2" t="s">
        <v>289</v>
      </c>
      <c r="D77" s="2" t="s">
        <v>290</v>
      </c>
      <c r="E77" s="2" t="s">
        <v>291</v>
      </c>
    </row>
    <row r="78" spans="1:6" x14ac:dyDescent="0.2">
      <c r="A78" s="1" t="s">
        <v>297</v>
      </c>
      <c r="B78" s="2" t="s">
        <v>293</v>
      </c>
      <c r="C78" s="2" t="s">
        <v>294</v>
      </c>
      <c r="D78" s="2" t="s">
        <v>295</v>
      </c>
      <c r="E78" s="2" t="s">
        <v>296</v>
      </c>
    </row>
    <row r="79" spans="1:6" ht="15" x14ac:dyDescent="0.2">
      <c r="A79" s="1" t="s">
        <v>305</v>
      </c>
      <c r="B79" s="13" t="s">
        <v>298</v>
      </c>
      <c r="D79" s="2" t="s">
        <v>299</v>
      </c>
      <c r="E79" s="2" t="s">
        <v>300</v>
      </c>
    </row>
    <row r="80" spans="1:6" x14ac:dyDescent="0.2">
      <c r="A80" s="1" t="s">
        <v>304</v>
      </c>
      <c r="B80" s="2" t="s">
        <v>301</v>
      </c>
      <c r="D80" s="2" t="s">
        <v>302</v>
      </c>
      <c r="E80" s="2" t="s">
        <v>303</v>
      </c>
    </row>
    <row r="81" spans="1:5" x14ac:dyDescent="0.2">
      <c r="A81" s="1" t="s">
        <v>310</v>
      </c>
      <c r="B81" s="2" t="s">
        <v>306</v>
      </c>
      <c r="C81" s="2" t="s">
        <v>307</v>
      </c>
      <c r="D81" s="2" t="s">
        <v>308</v>
      </c>
      <c r="E81" s="2" t="s">
        <v>309</v>
      </c>
    </row>
    <row r="82" spans="1:5" x14ac:dyDescent="0.2">
      <c r="A82" s="2" t="s">
        <v>311</v>
      </c>
      <c r="B82" s="2" t="s">
        <v>311</v>
      </c>
      <c r="C82" s="2" t="s">
        <v>312</v>
      </c>
      <c r="D82" s="2" t="s">
        <v>313</v>
      </c>
      <c r="E82" s="2" t="s">
        <v>314</v>
      </c>
    </row>
    <row r="83" spans="1:5" x14ac:dyDescent="0.2">
      <c r="A83" s="2" t="s">
        <v>318</v>
      </c>
      <c r="B83" s="2" t="s">
        <v>315</v>
      </c>
      <c r="D83" s="2" t="s">
        <v>316</v>
      </c>
      <c r="E83" s="2" t="s">
        <v>317</v>
      </c>
    </row>
    <row r="84" spans="1:5" x14ac:dyDescent="0.2">
      <c r="A84" s="1" t="s">
        <v>320</v>
      </c>
      <c r="B84" s="2" t="s">
        <v>319</v>
      </c>
      <c r="C84" s="2" t="s">
        <v>320</v>
      </c>
      <c r="D84" s="2" t="s">
        <v>321</v>
      </c>
      <c r="E84" s="2" t="s">
        <v>322</v>
      </c>
    </row>
    <row r="85" spans="1:5" x14ac:dyDescent="0.2">
      <c r="A85" s="1" t="s">
        <v>327</v>
      </c>
      <c r="B85" s="2" t="s">
        <v>323</v>
      </c>
      <c r="C85" s="2" t="s">
        <v>324</v>
      </c>
      <c r="D85" s="2" t="s">
        <v>325</v>
      </c>
      <c r="E85" s="2" t="s">
        <v>326</v>
      </c>
    </row>
    <row r="86" spans="1:5" x14ac:dyDescent="0.2">
      <c r="A86" s="1" t="s">
        <v>331</v>
      </c>
      <c r="B86" s="2" t="s">
        <v>328</v>
      </c>
      <c r="D86" s="2" t="s">
        <v>329</v>
      </c>
      <c r="E86" s="2" t="s">
        <v>330</v>
      </c>
    </row>
    <row r="87" spans="1:5" x14ac:dyDescent="0.2">
      <c r="A87" s="1" t="s">
        <v>335</v>
      </c>
      <c r="B87" s="2" t="s">
        <v>332</v>
      </c>
      <c r="D87" s="2" t="s">
        <v>333</v>
      </c>
      <c r="E87" s="2" t="s">
        <v>334</v>
      </c>
    </row>
    <row r="88" spans="1:5" x14ac:dyDescent="0.2">
      <c r="A88" s="1" t="s">
        <v>339</v>
      </c>
      <c r="B88" s="2" t="s">
        <v>336</v>
      </c>
      <c r="D88" s="2" t="s">
        <v>337</v>
      </c>
      <c r="E88" s="2" t="s">
        <v>338</v>
      </c>
    </row>
    <row r="89" spans="1:5" x14ac:dyDescent="0.2">
      <c r="A89" s="1" t="s">
        <v>344</v>
      </c>
      <c r="B89" s="5" t="s">
        <v>340</v>
      </c>
      <c r="C89" s="5" t="s">
        <v>341</v>
      </c>
      <c r="D89" s="5" t="s">
        <v>342</v>
      </c>
      <c r="E89" s="5" t="s">
        <v>343</v>
      </c>
    </row>
    <row r="90" spans="1:5" x14ac:dyDescent="0.2">
      <c r="A90" s="1" t="s">
        <v>349</v>
      </c>
      <c r="B90" s="2" t="s">
        <v>345</v>
      </c>
      <c r="C90" s="2" t="s">
        <v>346</v>
      </c>
      <c r="D90" s="2" t="s">
        <v>347</v>
      </c>
      <c r="E90" s="2" t="s">
        <v>348</v>
      </c>
    </row>
    <row r="91" spans="1:5" x14ac:dyDescent="0.2">
      <c r="A91" s="1" t="s">
        <v>353</v>
      </c>
      <c r="B91" s="2" t="s">
        <v>350</v>
      </c>
      <c r="D91" s="2" t="s">
        <v>351</v>
      </c>
      <c r="E91" s="2" t="s">
        <v>352</v>
      </c>
    </row>
    <row r="92" spans="1:5" x14ac:dyDescent="0.2">
      <c r="A92" s="2" t="s">
        <v>354</v>
      </c>
      <c r="B92" s="2" t="s">
        <v>354</v>
      </c>
      <c r="D92" s="2" t="s">
        <v>355</v>
      </c>
      <c r="E92" s="2" t="s">
        <v>356</v>
      </c>
    </row>
    <row r="93" spans="1:5" x14ac:dyDescent="0.2">
      <c r="A93" s="1" t="s">
        <v>360</v>
      </c>
      <c r="B93" s="2" t="s">
        <v>357</v>
      </c>
      <c r="D93" s="2" t="s">
        <v>358</v>
      </c>
      <c r="E93" s="2" t="s">
        <v>359</v>
      </c>
    </row>
    <row r="94" spans="1:5" x14ac:dyDescent="0.2">
      <c r="A94" s="2" t="s">
        <v>361</v>
      </c>
      <c r="B94" s="2" t="s">
        <v>361</v>
      </c>
      <c r="C94" s="2" t="s">
        <v>362</v>
      </c>
      <c r="D94" s="2" t="s">
        <v>363</v>
      </c>
      <c r="E94" s="2" t="s">
        <v>364</v>
      </c>
    </row>
    <row r="95" spans="1:5" x14ac:dyDescent="0.2">
      <c r="A95" s="1" t="s">
        <v>368</v>
      </c>
      <c r="B95" s="2" t="s">
        <v>365</v>
      </c>
      <c r="C95" s="2" t="s">
        <v>87</v>
      </c>
      <c r="D95" s="2" t="s">
        <v>366</v>
      </c>
      <c r="E95" s="2" t="s">
        <v>367</v>
      </c>
    </row>
    <row r="96" spans="1:5" x14ac:dyDescent="0.2">
      <c r="A96" s="1" t="s">
        <v>384</v>
      </c>
      <c r="B96" s="1" t="s">
        <v>385</v>
      </c>
      <c r="D96" s="1" t="s">
        <v>386</v>
      </c>
      <c r="E96" s="1" t="s">
        <v>387</v>
      </c>
    </row>
  </sheetData>
  <autoFilter ref="A1:F94">
    <sortState ref="A2:F95">
      <sortCondition ref="A1:A94"/>
    </sortState>
  </autoFilter>
  <sortState ref="A2:F104">
    <sortCondition ref="A2:A104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chnungwechsel">
                <anchor moveWithCells="1" sizeWithCells="1">
                  <from>
                    <xdr:col>0</xdr:col>
                    <xdr:colOff>771525</xdr:colOff>
                    <xdr:row>0</xdr:row>
                    <xdr:rowOff>161925</xdr:rowOff>
                  </from>
                  <to>
                    <xdr:col>0</xdr:col>
                    <xdr:colOff>2447925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6"/>
  <sheetViews>
    <sheetView workbookViewId="0">
      <selection activeCell="F15" sqref="F15"/>
    </sheetView>
  </sheetViews>
  <sheetFormatPr baseColWidth="10" defaultRowHeight="15" x14ac:dyDescent="0.25"/>
  <cols>
    <col min="1" max="1" width="19.5703125" customWidth="1"/>
  </cols>
  <sheetData>
    <row r="1" spans="1:1" x14ac:dyDescent="0.25">
      <c r="A1" s="51" t="s">
        <v>382</v>
      </c>
    </row>
    <row r="2" spans="1:1" x14ac:dyDescent="0.25">
      <c r="A2" s="51" t="s">
        <v>375</v>
      </c>
    </row>
    <row r="3" spans="1:1" x14ac:dyDescent="0.25">
      <c r="A3" s="51" t="s">
        <v>378</v>
      </c>
    </row>
    <row r="4" spans="1:1" x14ac:dyDescent="0.25">
      <c r="A4" s="51" t="s">
        <v>381</v>
      </c>
    </row>
    <row r="5" spans="1:1" x14ac:dyDescent="0.25">
      <c r="A5" s="51" t="s">
        <v>380</v>
      </c>
    </row>
    <row r="6" spans="1:1" x14ac:dyDescent="0.25">
      <c r="A6" s="51" t="s">
        <v>383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3</vt:i4>
      </vt:variant>
    </vt:vector>
  </HeadingPairs>
  <TitlesOfParts>
    <vt:vector size="6" baseType="lpstr">
      <vt:lpstr>Rechnung</vt:lpstr>
      <vt:lpstr>akustiker</vt:lpstr>
      <vt:lpstr>infos</vt:lpstr>
      <vt:lpstr>akustiker</vt:lpstr>
      <vt:lpstr>clear</vt:lpstr>
      <vt:lpstr>Rechnung!Druckbereich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Prüffeld</dc:creator>
  <cp:lastModifiedBy>Alexander</cp:lastModifiedBy>
  <cp:lastPrinted>2024-01-31T06:55:28Z</cp:lastPrinted>
  <dcterms:created xsi:type="dcterms:W3CDTF">2015-06-05T18:19:34Z</dcterms:created>
  <dcterms:modified xsi:type="dcterms:W3CDTF">2025-04-01T10:10:59Z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